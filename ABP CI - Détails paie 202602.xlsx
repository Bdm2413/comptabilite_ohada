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ilitycom-my.sharepoint.com/personal/dblonde_agility_com/Documents/Documents/Main Folder/02-Accounting and Finance/08-Payroll/"/>
    </mc:Choice>
  </mc:AlternateContent>
  <xr:revisionPtr revIDLastSave="202" documentId="13_ncr:1_{7EBC149F-E6B1-47DE-BCFF-EEFC789695B2}" xr6:coauthVersionLast="47" xr6:coauthVersionMax="47" xr10:uidLastSave="{560854D8-53D2-4478-B7C5-AFA49167B32A}"/>
  <bookViews>
    <workbookView xWindow="-120" yWindow="-120" windowWidth="29040" windowHeight="18240" tabRatio="933" firstSheet="1" activeTab="1" xr2:uid="{0B64BC0B-D283-4FE4-8DAC-0C46E5E8D254}"/>
  </bookViews>
  <sheets>
    <sheet name="Tableau de Bord" sheetId="31" r:id="rId1"/>
    <sheet name="Synthèse" sheetId="29" r:id="rId2"/>
    <sheet name="Comptabilisation" sheetId="30" r:id="rId3"/>
    <sheet name="ELIE MOUSSA" sheetId="15" r:id="rId4"/>
    <sheet name="TANGARA FANTA" sheetId="16" r:id="rId5"/>
    <sheet name="OUATTARA ABDOULAYE" sheetId="17" r:id="rId6"/>
    <sheet name="KARAMOKO MARCEL" sheetId="18" r:id="rId7"/>
    <sheet name="DAN CESAR" sheetId="19" r:id="rId8"/>
    <sheet name="ASSI BONAVENTURE" sheetId="20" r:id="rId9"/>
    <sheet name="BESONGLACHE PAUL" sheetId="21" r:id="rId10"/>
    <sheet name="KONAN JEAN YVES" sheetId="22" r:id="rId11"/>
    <sheet name="SANOGO MORIBA" sheetId="23" r:id="rId12"/>
    <sheet name="COULIBALY TEMAN" sheetId="24" r:id="rId13"/>
    <sheet name="KOUACHY DJOMAN PACOME" sheetId="25" r:id="rId14"/>
    <sheet name="BLONDE MARCEL" sheetId="27" r:id="rId15"/>
    <sheet name="GNADOU PAULE MARIANNE" sheetId="28" r:id="rId16"/>
  </sheets>
  <externalReferences>
    <externalReference r:id="rId17"/>
  </externalReferences>
  <definedNames>
    <definedName name="_xlnm.Print_Titles" localSheetId="1">Synthèse!$A:$C</definedName>
    <definedName name="LISTE_PERIODES">_xlfn.ANCHORARRAY([1]Listes!$B$2)</definedName>
    <definedName name="LISTE_SALARIES">_xlfn.ANCHORARRAY([1]Listes!$A$2)</definedName>
    <definedName name="Print_Area" localSheetId="8">'ASSI BONAVENTURE'!$A$1:$D$33</definedName>
    <definedName name="Print_Area" localSheetId="9">'BESONGLACHE PAUL'!$A$1:$D$33</definedName>
    <definedName name="Print_Area" localSheetId="14">'BLONDE MARCEL'!$A$1:$D$33</definedName>
    <definedName name="Print_Area" localSheetId="12">'COULIBALY TEMAN'!$A$1:$D$33</definedName>
    <definedName name="Print_Area" localSheetId="7">'DAN CESAR'!$A$1:$D$33</definedName>
    <definedName name="Print_Area" localSheetId="3">'ELIE MOUSSA'!$A$1:$D$33</definedName>
    <definedName name="Print_Area" localSheetId="15">'GNADOU PAULE MARIANNE'!$A$1:$D$33</definedName>
    <definedName name="Print_Area" localSheetId="6">'KARAMOKO MARCEL'!$A$1:$D$33</definedName>
    <definedName name="Print_Area" localSheetId="10">'KONAN JEAN YVES'!$A$1:$D$33</definedName>
    <definedName name="Print_Area" localSheetId="13">'KOUACHY DJOMAN PACOME'!$A$1:$D$33</definedName>
    <definedName name="Print_Area" localSheetId="5">'OUATTARA ABDOULAYE'!$A$1:$D$33</definedName>
    <definedName name="Print_Area" localSheetId="11">'SANOGO MORIBA'!$A$1:$D$33</definedName>
    <definedName name="Print_Area" localSheetId="4">'TANGARA FANTA'!$A$1:$D$33</definedName>
    <definedName name="_xlnm.Print_Area" localSheetId="8">'ASSI BONAVENTURE'!$A$1:$D$33</definedName>
    <definedName name="_xlnm.Print_Area" localSheetId="9">'BESONGLACHE PAUL'!$A$1:$D$33</definedName>
    <definedName name="_xlnm.Print_Area" localSheetId="14">'BLONDE MARCEL'!$A$1:$D$33</definedName>
    <definedName name="_xlnm.Print_Area" localSheetId="12">'COULIBALY TEMAN'!$A$1:$D$33</definedName>
    <definedName name="_xlnm.Print_Area" localSheetId="7">'DAN CESAR'!$A$1:$D$33</definedName>
    <definedName name="_xlnm.Print_Area" localSheetId="3">'ELIE MOUSSA'!$A$1:$D$33</definedName>
    <definedName name="_xlnm.Print_Area" localSheetId="15">'GNADOU PAULE MARIANNE'!$A$1:$D$33</definedName>
    <definedName name="_xlnm.Print_Area" localSheetId="6">'KARAMOKO MARCEL'!$A$1:$D$33</definedName>
    <definedName name="_xlnm.Print_Area" localSheetId="10">'KONAN JEAN YVES'!$A$1:$D$33</definedName>
    <definedName name="_xlnm.Print_Area" localSheetId="13">'KOUACHY DJOMAN PACOME'!$A$1:$D$33</definedName>
    <definedName name="_xlnm.Print_Area" localSheetId="5">'OUATTARA ABDOULAYE'!$A$1:$D$33</definedName>
    <definedName name="_xlnm.Print_Area" localSheetId="11">'SANOGO MORIBA'!$A$1:$D$33</definedName>
    <definedName name="_xlnm.Print_Area" localSheetId="4">'TANGARA FANTA'!$A$1:$D$33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30" l="1"/>
  <c r="P46" i="30" l="1"/>
  <c r="G19" i="29" l="1"/>
  <c r="G18" i="29"/>
  <c r="G17" i="29"/>
  <c r="G16" i="29"/>
  <c r="G14" i="29"/>
  <c r="G13" i="29"/>
  <c r="G12" i="29"/>
  <c r="G11" i="29"/>
  <c r="G10" i="29"/>
  <c r="G9" i="29"/>
  <c r="G8" i="29"/>
  <c r="G7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S34" i="30"/>
  <c r="S35" i="30"/>
  <c r="S36" i="30"/>
  <c r="S37" i="30"/>
  <c r="S38" i="30"/>
  <c r="S39" i="30"/>
  <c r="S40" i="30"/>
  <c r="S41" i="30"/>
  <c r="S42" i="30"/>
  <c r="S43" i="30"/>
  <c r="S44" i="30"/>
  <c r="S45" i="30"/>
  <c r="S33" i="30"/>
  <c r="S46" i="30" l="1"/>
  <c r="A7" i="29"/>
  <c r="J17" i="30"/>
  <c r="J16" i="30"/>
  <c r="J15" i="30"/>
  <c r="J14" i="30"/>
  <c r="J13" i="30"/>
  <c r="J12" i="30"/>
  <c r="J11" i="30"/>
  <c r="J10" i="30"/>
  <c r="J9" i="30"/>
  <c r="J8" i="30"/>
  <c r="J7" i="30"/>
  <c r="J6" i="30"/>
  <c r="N6" i="30" s="1"/>
  <c r="J3" i="30"/>
  <c r="A3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8" i="30"/>
  <c r="A6" i="30"/>
  <c r="E6" i="30" s="1"/>
  <c r="A7" i="30"/>
  <c r="E7" i="30" s="1"/>
  <c r="A8" i="30"/>
  <c r="N8" i="30" s="1"/>
  <c r="A9" i="30"/>
  <c r="N9" i="30" s="1"/>
  <c r="A10" i="30"/>
  <c r="N10" i="30" s="1"/>
  <c r="A11" i="30"/>
  <c r="N11" i="30" s="1"/>
  <c r="A12" i="30"/>
  <c r="N12" i="30" s="1"/>
  <c r="A13" i="30"/>
  <c r="N13" i="30" s="1"/>
  <c r="A14" i="30"/>
  <c r="N14" i="30" s="1"/>
  <c r="A15" i="30"/>
  <c r="N15" i="30" s="1"/>
  <c r="A16" i="30"/>
  <c r="N16" i="30" s="1"/>
  <c r="A17" i="30"/>
  <c r="N17" i="30" s="1"/>
  <c r="A18" i="30"/>
  <c r="A19" i="30"/>
  <c r="A20" i="30"/>
  <c r="A21" i="30"/>
  <c r="E21" i="30" s="1"/>
  <c r="A22" i="30"/>
  <c r="E22" i="30" s="1"/>
  <c r="A23" i="30"/>
  <c r="E23" i="30" s="1"/>
  <c r="A1" i="30"/>
  <c r="A1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D19" i="28"/>
  <c r="W19" i="29" s="1"/>
  <c r="D18" i="28"/>
  <c r="V19" i="29" s="1"/>
  <c r="D19" i="27"/>
  <c r="W18" i="29" s="1"/>
  <c r="D18" i="27"/>
  <c r="V18" i="29" s="1"/>
  <c r="D19" i="25"/>
  <c r="W17" i="29" s="1"/>
  <c r="D18" i="25"/>
  <c r="V17" i="29" s="1"/>
  <c r="D19" i="24"/>
  <c r="W16" i="29" s="1"/>
  <c r="D18" i="24"/>
  <c r="V16" i="29" s="1"/>
  <c r="D19" i="23"/>
  <c r="W15" i="29" s="1"/>
  <c r="D18" i="23"/>
  <c r="V15" i="29" s="1"/>
  <c r="D19" i="22"/>
  <c r="W14" i="29" s="1"/>
  <c r="D18" i="22"/>
  <c r="V14" i="29" s="1"/>
  <c r="D19" i="21"/>
  <c r="W13" i="29" s="1"/>
  <c r="D18" i="21"/>
  <c r="V13" i="29" s="1"/>
  <c r="D19" i="20"/>
  <c r="W12" i="29" s="1"/>
  <c r="D18" i="20"/>
  <c r="V12" i="29" s="1"/>
  <c r="D19" i="19"/>
  <c r="W11" i="29" s="1"/>
  <c r="D18" i="19"/>
  <c r="V11" i="29" s="1"/>
  <c r="D19" i="18"/>
  <c r="W10" i="29" s="1"/>
  <c r="D18" i="18"/>
  <c r="V10" i="29" s="1"/>
  <c r="D19" i="17"/>
  <c r="W9" i="29" s="1"/>
  <c r="D18" i="17"/>
  <c r="V9" i="29" s="1"/>
  <c r="D19" i="16"/>
  <c r="W8" i="29" s="1"/>
  <c r="D18" i="16"/>
  <c r="V8" i="29" s="1"/>
  <c r="D18" i="15"/>
  <c r="D19" i="15"/>
  <c r="W7" i="29" s="1"/>
  <c r="C30" i="28"/>
  <c r="C30" i="27"/>
  <c r="C30" i="25"/>
  <c r="C30" i="24"/>
  <c r="C30" i="23"/>
  <c r="C30" i="22"/>
  <c r="C30" i="21"/>
  <c r="C30" i="20"/>
  <c r="C30" i="19"/>
  <c r="C30" i="18"/>
  <c r="C30" i="17"/>
  <c r="C30" i="16"/>
  <c r="C30" i="15"/>
  <c r="D27" i="28"/>
  <c r="D27" i="27"/>
  <c r="D27" i="25"/>
  <c r="D27" i="24"/>
  <c r="D27" i="23"/>
  <c r="D27" i="22"/>
  <c r="D27" i="21"/>
  <c r="D27" i="20"/>
  <c r="D27" i="19"/>
  <c r="D27" i="18"/>
  <c r="D27" i="17"/>
  <c r="D27" i="16"/>
  <c r="D27" i="15"/>
  <c r="V7" i="29" l="1"/>
  <c r="V21" i="29" s="1"/>
  <c r="G22" i="31"/>
  <c r="G5" i="31"/>
  <c r="N7" i="30"/>
  <c r="E8" i="30"/>
  <c r="W21" i="29"/>
  <c r="J21" i="29"/>
  <c r="I19" i="29"/>
  <c r="H35" i="31" s="1"/>
  <c r="I18" i="29"/>
  <c r="H34" i="31" s="1"/>
  <c r="I17" i="29"/>
  <c r="H32" i="31" s="1"/>
  <c r="I16" i="29"/>
  <c r="H31" i="31" s="1"/>
  <c r="I15" i="29"/>
  <c r="H30" i="31" s="1"/>
  <c r="I14" i="29"/>
  <c r="H29" i="31" s="1"/>
  <c r="I13" i="29"/>
  <c r="H28" i="31" s="1"/>
  <c r="I12" i="29"/>
  <c r="H27" i="31" s="1"/>
  <c r="I11" i="29"/>
  <c r="H26" i="31" s="1"/>
  <c r="I10" i="29"/>
  <c r="H25" i="31" s="1"/>
  <c r="I9" i="29"/>
  <c r="H24" i="31" s="1"/>
  <c r="I8" i="29"/>
  <c r="H23" i="31" s="1"/>
  <c r="I7" i="29"/>
  <c r="A19" i="29"/>
  <c r="A18" i="29"/>
  <c r="A17" i="29"/>
  <c r="A16" i="29"/>
  <c r="A15" i="29"/>
  <c r="A14" i="29"/>
  <c r="A13" i="29"/>
  <c r="A11" i="29"/>
  <c r="E17" i="30" l="1"/>
  <c r="G14" i="31"/>
  <c r="G31" i="31"/>
  <c r="E18" i="30"/>
  <c r="G15" i="31"/>
  <c r="G32" i="31"/>
  <c r="E19" i="30"/>
  <c r="G17" i="31"/>
  <c r="G34" i="31"/>
  <c r="E15" i="30"/>
  <c r="G12" i="31"/>
  <c r="G29" i="31"/>
  <c r="E16" i="30"/>
  <c r="G30" i="31"/>
  <c r="G13" i="31"/>
  <c r="E20" i="30"/>
  <c r="G35" i="31"/>
  <c r="G18" i="31"/>
  <c r="B7" i="31"/>
  <c r="C29" i="31"/>
  <c r="H22" i="31"/>
  <c r="C31" i="31"/>
  <c r="B31" i="31"/>
  <c r="B6" i="31"/>
  <c r="C27" i="31"/>
  <c r="B29" i="31"/>
  <c r="B5" i="31"/>
  <c r="C28" i="31"/>
  <c r="B9" i="31"/>
  <c r="C30" i="31"/>
  <c r="B8" i="31"/>
  <c r="B27" i="31"/>
  <c r="F7" i="30"/>
  <c r="E12" i="30"/>
  <c r="G9" i="31"/>
  <c r="G26" i="31"/>
  <c r="E14" i="30"/>
  <c r="G28" i="31"/>
  <c r="G11" i="31"/>
  <c r="O6" i="30"/>
  <c r="I21" i="29"/>
  <c r="E28" i="31" l="1"/>
  <c r="E27" i="31"/>
  <c r="E31" i="31"/>
  <c r="F6" i="30"/>
  <c r="F24" i="30" s="1"/>
  <c r="E4" i="31"/>
  <c r="E30" i="31"/>
  <c r="E29" i="31"/>
  <c r="D26" i="28"/>
  <c r="R19" i="29" s="1"/>
  <c r="D26" i="27"/>
  <c r="R18" i="29" s="1"/>
  <c r="D26" i="25"/>
  <c r="R17" i="29" s="1"/>
  <c r="D26" i="24"/>
  <c r="R16" i="29" s="1"/>
  <c r="D26" i="23"/>
  <c r="R15" i="29" s="1"/>
  <c r="D26" i="22"/>
  <c r="R14" i="29" s="1"/>
  <c r="D26" i="21"/>
  <c r="R13" i="29" s="1"/>
  <c r="D26" i="20"/>
  <c r="R12" i="29" s="1"/>
  <c r="D26" i="19"/>
  <c r="R11" i="29" s="1"/>
  <c r="D26" i="18"/>
  <c r="R10" i="29" s="1"/>
  <c r="D26" i="17"/>
  <c r="R9" i="29" s="1"/>
  <c r="D26" i="16"/>
  <c r="R8" i="29" s="1"/>
  <c r="D26" i="15"/>
  <c r="R7" i="29" s="1"/>
  <c r="T19" i="29"/>
  <c r="T14" i="29"/>
  <c r="N14" i="29"/>
  <c r="T13" i="29"/>
  <c r="T12" i="29"/>
  <c r="T11" i="29"/>
  <c r="T9" i="29"/>
  <c r="T8" i="29"/>
  <c r="A12" i="29"/>
  <c r="A10" i="29"/>
  <c r="A9" i="29"/>
  <c r="A8" i="29"/>
  <c r="D24" i="28"/>
  <c r="G24" i="28" s="1"/>
  <c r="C23" i="28"/>
  <c r="G23" i="28" s="1"/>
  <c r="D24" i="27"/>
  <c r="Q18" i="29" s="1"/>
  <c r="C23" i="27"/>
  <c r="M18" i="29" s="1"/>
  <c r="D24" i="25"/>
  <c r="Q17" i="29" s="1"/>
  <c r="C23" i="25"/>
  <c r="M17" i="29" s="1"/>
  <c r="D24" i="24"/>
  <c r="G24" i="24" s="1"/>
  <c r="C23" i="24"/>
  <c r="G23" i="24" s="1"/>
  <c r="D24" i="23"/>
  <c r="G24" i="23" s="1"/>
  <c r="C23" i="23"/>
  <c r="G23" i="23" s="1"/>
  <c r="D24" i="22"/>
  <c r="G24" i="22" s="1"/>
  <c r="C23" i="22"/>
  <c r="G23" i="22" s="1"/>
  <c r="D24" i="21"/>
  <c r="G24" i="21" s="1"/>
  <c r="C23" i="21"/>
  <c r="G23" i="21" s="1"/>
  <c r="D24" i="20"/>
  <c r="G24" i="20" s="1"/>
  <c r="C23" i="20"/>
  <c r="G23" i="20" s="1"/>
  <c r="D24" i="19"/>
  <c r="Q11" i="29" s="1"/>
  <c r="C23" i="19"/>
  <c r="G23" i="19" s="1"/>
  <c r="D24" i="18"/>
  <c r="G24" i="18" s="1"/>
  <c r="C23" i="18"/>
  <c r="G23" i="18" s="1"/>
  <c r="D24" i="17"/>
  <c r="G24" i="17" s="1"/>
  <c r="C23" i="17"/>
  <c r="G23" i="17" s="1"/>
  <c r="D24" i="15"/>
  <c r="G24" i="15" s="1"/>
  <c r="C23" i="15"/>
  <c r="G23" i="15" s="1"/>
  <c r="D24" i="16"/>
  <c r="G24" i="16" s="1"/>
  <c r="C23" i="16"/>
  <c r="G23" i="16" s="1"/>
  <c r="C28" i="28"/>
  <c r="D29" i="28" s="1"/>
  <c r="U19" i="29" s="1"/>
  <c r="D25" i="28"/>
  <c r="S19" i="29" s="1"/>
  <c r="D22" i="28"/>
  <c r="D21" i="28"/>
  <c r="Y19" i="29" s="1"/>
  <c r="D20" i="28"/>
  <c r="X19" i="29" s="1"/>
  <c r="C15" i="28"/>
  <c r="B8" i="28"/>
  <c r="C16" i="28" s="1"/>
  <c r="C28" i="27"/>
  <c r="D29" i="27" s="1"/>
  <c r="U18" i="29" s="1"/>
  <c r="T18" i="29"/>
  <c r="D25" i="27"/>
  <c r="S18" i="29" s="1"/>
  <c r="D22" i="27"/>
  <c r="D21" i="27"/>
  <c r="Y18" i="29" s="1"/>
  <c r="D20" i="27"/>
  <c r="X18" i="29" s="1"/>
  <c r="C15" i="27"/>
  <c r="B8" i="27"/>
  <c r="C16" i="27" s="1"/>
  <c r="C28" i="25"/>
  <c r="D29" i="25" s="1"/>
  <c r="U17" i="29" s="1"/>
  <c r="T17" i="29"/>
  <c r="D25" i="25"/>
  <c r="S17" i="29" s="1"/>
  <c r="D22" i="25"/>
  <c r="D21" i="25"/>
  <c r="Y17" i="29" s="1"/>
  <c r="D20" i="25"/>
  <c r="X17" i="29" s="1"/>
  <c r="C15" i="25"/>
  <c r="B8" i="25"/>
  <c r="C16" i="25" s="1"/>
  <c r="C28" i="24"/>
  <c r="D29" i="24" s="1"/>
  <c r="U16" i="29" s="1"/>
  <c r="T16" i="29"/>
  <c r="D25" i="24"/>
  <c r="S16" i="29" s="1"/>
  <c r="D22" i="24"/>
  <c r="D21" i="24"/>
  <c r="Y16" i="29" s="1"/>
  <c r="D20" i="24"/>
  <c r="X16" i="29" s="1"/>
  <c r="C15" i="24"/>
  <c r="B8" i="24"/>
  <c r="C16" i="24" s="1"/>
  <c r="C28" i="23"/>
  <c r="D29" i="23" s="1"/>
  <c r="U15" i="29" s="1"/>
  <c r="T15" i="29"/>
  <c r="D25" i="23"/>
  <c r="S15" i="29" s="1"/>
  <c r="D22" i="23"/>
  <c r="D21" i="23"/>
  <c r="Y15" i="29" s="1"/>
  <c r="D20" i="23"/>
  <c r="X15" i="29" s="1"/>
  <c r="C15" i="23"/>
  <c r="B8" i="23"/>
  <c r="C28" i="22"/>
  <c r="D29" i="22" s="1"/>
  <c r="U14" i="29" s="1"/>
  <c r="D25" i="22"/>
  <c r="S14" i="29" s="1"/>
  <c r="D22" i="22"/>
  <c r="D21" i="22"/>
  <c r="Y14" i="29" s="1"/>
  <c r="D20" i="22"/>
  <c r="X14" i="29" s="1"/>
  <c r="C15" i="22"/>
  <c r="B8" i="22"/>
  <c r="C16" i="22" s="1"/>
  <c r="C28" i="21"/>
  <c r="D29" i="21" s="1"/>
  <c r="U13" i="29" s="1"/>
  <c r="D25" i="21"/>
  <c r="S13" i="29" s="1"/>
  <c r="D22" i="21"/>
  <c r="D21" i="21"/>
  <c r="Y13" i="29" s="1"/>
  <c r="D20" i="21"/>
  <c r="X13" i="29" s="1"/>
  <c r="C15" i="21"/>
  <c r="B8" i="21"/>
  <c r="C16" i="21" s="1"/>
  <c r="C28" i="20"/>
  <c r="D29" i="20" s="1"/>
  <c r="U12" i="29" s="1"/>
  <c r="D25" i="20"/>
  <c r="S12" i="29" s="1"/>
  <c r="D22" i="20"/>
  <c r="D21" i="20"/>
  <c r="Y12" i="29" s="1"/>
  <c r="D20" i="20"/>
  <c r="X12" i="29" s="1"/>
  <c r="C15" i="20"/>
  <c r="B8" i="20"/>
  <c r="C16" i="20" s="1"/>
  <c r="C28" i="19"/>
  <c r="D29" i="19" s="1"/>
  <c r="U11" i="29" s="1"/>
  <c r="D25" i="19"/>
  <c r="S11" i="29" s="1"/>
  <c r="D22" i="19"/>
  <c r="D21" i="19"/>
  <c r="Y11" i="29" s="1"/>
  <c r="D20" i="19"/>
  <c r="X11" i="29" s="1"/>
  <c r="C15" i="19"/>
  <c r="B8" i="19"/>
  <c r="C16" i="19" s="1"/>
  <c r="C28" i="18"/>
  <c r="D29" i="18" s="1"/>
  <c r="U10" i="29" s="1"/>
  <c r="C28" i="17"/>
  <c r="N9" i="29" s="1"/>
  <c r="C28" i="16"/>
  <c r="N8" i="29" s="1"/>
  <c r="C28" i="15"/>
  <c r="D29" i="15" s="1"/>
  <c r="U7" i="29" s="1"/>
  <c r="T10" i="29"/>
  <c r="D25" i="18"/>
  <c r="S10" i="29" s="1"/>
  <c r="D22" i="18"/>
  <c r="D21" i="18"/>
  <c r="Y10" i="29" s="1"/>
  <c r="D20" i="18"/>
  <c r="X10" i="29" s="1"/>
  <c r="C15" i="18"/>
  <c r="B8" i="18"/>
  <c r="C16" i="18" s="1"/>
  <c r="D25" i="17"/>
  <c r="S9" i="29" s="1"/>
  <c r="D22" i="17"/>
  <c r="D21" i="17"/>
  <c r="Y9" i="29" s="1"/>
  <c r="D20" i="17"/>
  <c r="X9" i="29" s="1"/>
  <c r="C15" i="17"/>
  <c r="B8" i="17"/>
  <c r="C16" i="17" s="1"/>
  <c r="D25" i="16"/>
  <c r="S8" i="29" s="1"/>
  <c r="D22" i="16"/>
  <c r="D21" i="16"/>
  <c r="Y8" i="29" s="1"/>
  <c r="D20" i="16"/>
  <c r="X8" i="29" s="1"/>
  <c r="C15" i="16"/>
  <c r="B8" i="16"/>
  <c r="C16" i="16" s="1"/>
  <c r="C16" i="23" l="1"/>
  <c r="C17" i="23" s="1"/>
  <c r="O15" i="29" s="1"/>
  <c r="AC15" i="29" s="1"/>
  <c r="G15" i="29"/>
  <c r="N15" i="29"/>
  <c r="AB15" i="29" s="1"/>
  <c r="J9" i="31"/>
  <c r="E9" i="30"/>
  <c r="G6" i="31"/>
  <c r="G23" i="31"/>
  <c r="B4" i="31"/>
  <c r="B28" i="31"/>
  <c r="E10" i="30"/>
  <c r="G7" i="31"/>
  <c r="G24" i="31"/>
  <c r="J15" i="31"/>
  <c r="J17" i="31"/>
  <c r="E11" i="30"/>
  <c r="G8" i="31"/>
  <c r="G25" i="31"/>
  <c r="B30" i="31"/>
  <c r="B37" i="31"/>
  <c r="C37" i="31" s="1"/>
  <c r="E13" i="30"/>
  <c r="G10" i="31"/>
  <c r="G27" i="31"/>
  <c r="G24" i="27"/>
  <c r="N18" i="29"/>
  <c r="N16" i="29"/>
  <c r="AB16" i="29" s="1"/>
  <c r="N10" i="29"/>
  <c r="AB10" i="29" s="1"/>
  <c r="N19" i="29"/>
  <c r="AB19" i="29" s="1"/>
  <c r="N17" i="29"/>
  <c r="AB17" i="29" s="1"/>
  <c r="Q16" i="29"/>
  <c r="J14" i="31" s="1"/>
  <c r="AB14" i="29"/>
  <c r="N13" i="29"/>
  <c r="AB13" i="29" s="1"/>
  <c r="Q13" i="29"/>
  <c r="J11" i="31" s="1"/>
  <c r="N12" i="29"/>
  <c r="AB12" i="29" s="1"/>
  <c r="N11" i="29"/>
  <c r="AB11" i="29" s="1"/>
  <c r="D29" i="17"/>
  <c r="U9" i="29" s="1"/>
  <c r="D29" i="16"/>
  <c r="U8" i="29" s="1"/>
  <c r="AB8" i="29" s="1"/>
  <c r="N7" i="29"/>
  <c r="AB7" i="29" s="1"/>
  <c r="G23" i="27"/>
  <c r="M14" i="29"/>
  <c r="M13" i="29"/>
  <c r="M11" i="29"/>
  <c r="Q8" i="29"/>
  <c r="J6" i="31" s="1"/>
  <c r="M8" i="29"/>
  <c r="M19" i="29"/>
  <c r="Q19" i="29"/>
  <c r="J18" i="31" s="1"/>
  <c r="AA18" i="29"/>
  <c r="G24" i="25"/>
  <c r="G23" i="25"/>
  <c r="M16" i="29"/>
  <c r="Q15" i="29"/>
  <c r="J13" i="31" s="1"/>
  <c r="M15" i="29"/>
  <c r="Q14" i="29"/>
  <c r="J12" i="31" s="1"/>
  <c r="M12" i="29"/>
  <c r="Q12" i="29"/>
  <c r="J10" i="31" s="1"/>
  <c r="M10" i="29"/>
  <c r="Q10" i="29"/>
  <c r="J8" i="31" s="1"/>
  <c r="M9" i="29"/>
  <c r="Q9" i="29"/>
  <c r="M7" i="29"/>
  <c r="Q7" i="29"/>
  <c r="AA17" i="29"/>
  <c r="R21" i="29"/>
  <c r="D33" i="28"/>
  <c r="C17" i="28"/>
  <c r="O19" i="29" s="1"/>
  <c r="AC19" i="29" s="1"/>
  <c r="C17" i="27"/>
  <c r="D33" i="27"/>
  <c r="C17" i="25"/>
  <c r="O17" i="29" s="1"/>
  <c r="AC17" i="29" s="1"/>
  <c r="D33" i="25"/>
  <c r="D33" i="24"/>
  <c r="C17" i="24"/>
  <c r="O16" i="29" s="1"/>
  <c r="AC16" i="29" s="1"/>
  <c r="D33" i="23"/>
  <c r="D33" i="22"/>
  <c r="C17" i="22"/>
  <c r="O14" i="29" s="1"/>
  <c r="AC14" i="29" s="1"/>
  <c r="D33" i="21"/>
  <c r="C17" i="21"/>
  <c r="O13" i="29" s="1"/>
  <c r="AC13" i="29" s="1"/>
  <c r="D33" i="20"/>
  <c r="C17" i="20"/>
  <c r="O12" i="29" s="1"/>
  <c r="AC12" i="29" s="1"/>
  <c r="C32" i="20"/>
  <c r="C31" i="20"/>
  <c r="K12" i="29" s="1"/>
  <c r="C17" i="19"/>
  <c r="O11" i="29" s="1"/>
  <c r="AC11" i="29" s="1"/>
  <c r="D33" i="19"/>
  <c r="G24" i="19"/>
  <c r="D33" i="18"/>
  <c r="C17" i="18"/>
  <c r="O10" i="29" s="1"/>
  <c r="AC10" i="29" s="1"/>
  <c r="C17" i="17"/>
  <c r="O9" i="29" s="1"/>
  <c r="AC9" i="29" s="1"/>
  <c r="C17" i="16"/>
  <c r="O8" i="29" s="1"/>
  <c r="I10" i="31" l="1"/>
  <c r="J7" i="31"/>
  <c r="AA11" i="29"/>
  <c r="I9" i="31"/>
  <c r="I14" i="31"/>
  <c r="G13" i="30"/>
  <c r="H10" i="31"/>
  <c r="I11" i="31"/>
  <c r="I12" i="31"/>
  <c r="I15" i="31"/>
  <c r="I8" i="31"/>
  <c r="AB18" i="29"/>
  <c r="AA15" i="29"/>
  <c r="I13" i="31"/>
  <c r="I7" i="31"/>
  <c r="I18" i="31"/>
  <c r="I6" i="31"/>
  <c r="C31" i="27"/>
  <c r="K18" i="29" s="1"/>
  <c r="O18" i="29"/>
  <c r="AC18" i="29" s="1"/>
  <c r="AA12" i="29"/>
  <c r="AC8" i="29"/>
  <c r="AA8" i="29"/>
  <c r="AA16" i="29"/>
  <c r="U21" i="29"/>
  <c r="O10" i="30" s="1"/>
  <c r="P16" i="30" s="1"/>
  <c r="AA14" i="29"/>
  <c r="AA13" i="29"/>
  <c r="AB9" i="29"/>
  <c r="D33" i="17"/>
  <c r="D33" i="16"/>
  <c r="N21" i="29"/>
  <c r="G22" i="30" s="1"/>
  <c r="AA19" i="29"/>
  <c r="AA9" i="29"/>
  <c r="Q21" i="29"/>
  <c r="AA10" i="29"/>
  <c r="M21" i="29"/>
  <c r="C32" i="28"/>
  <c r="C31" i="28"/>
  <c r="K19" i="29" s="1"/>
  <c r="C32" i="27"/>
  <c r="C32" i="25"/>
  <c r="C31" i="25"/>
  <c r="K17" i="29" s="1"/>
  <c r="C32" i="24"/>
  <c r="C31" i="24"/>
  <c r="K16" i="29" s="1"/>
  <c r="C32" i="23"/>
  <c r="C31" i="23"/>
  <c r="K15" i="29" s="1"/>
  <c r="C32" i="22"/>
  <c r="C31" i="22"/>
  <c r="K14" i="29" s="1"/>
  <c r="C32" i="21"/>
  <c r="C31" i="21"/>
  <c r="K13" i="29" s="1"/>
  <c r="C32" i="19"/>
  <c r="C31" i="19"/>
  <c r="C31" i="18"/>
  <c r="K10" i="29" s="1"/>
  <c r="C32" i="18"/>
  <c r="C32" i="17"/>
  <c r="C31" i="17"/>
  <c r="K9" i="29" s="1"/>
  <c r="C32" i="16"/>
  <c r="C31" i="16"/>
  <c r="K8" i="29" s="1"/>
  <c r="K11" i="29" l="1"/>
  <c r="K10" i="31"/>
  <c r="G18" i="30"/>
  <c r="H15" i="31"/>
  <c r="K15" i="31" s="1"/>
  <c r="G11" i="30"/>
  <c r="H8" i="31"/>
  <c r="K8" i="31" s="1"/>
  <c r="D30" i="31"/>
  <c r="G12" i="30"/>
  <c r="H9" i="31"/>
  <c r="K9" i="31" s="1"/>
  <c r="G19" i="30"/>
  <c r="H17" i="31"/>
  <c r="AB21" i="29"/>
  <c r="B14" i="31" s="1"/>
  <c r="G14" i="30"/>
  <c r="H11" i="31"/>
  <c r="K11" i="31" s="1"/>
  <c r="D27" i="31"/>
  <c r="G20" i="30"/>
  <c r="H18" i="31"/>
  <c r="K18" i="31" s="1"/>
  <c r="D29" i="31"/>
  <c r="G15" i="30"/>
  <c r="H12" i="31"/>
  <c r="K12" i="31" s="1"/>
  <c r="D31" i="31"/>
  <c r="G21" i="30"/>
  <c r="H6" i="31"/>
  <c r="D28" i="31"/>
  <c r="G16" i="30"/>
  <c r="H13" i="31"/>
  <c r="K13" i="31" s="1"/>
  <c r="O9" i="30"/>
  <c r="P15" i="30" s="1"/>
  <c r="G10" i="30"/>
  <c r="H7" i="31"/>
  <c r="K7" i="31" s="1"/>
  <c r="G17" i="30"/>
  <c r="H14" i="31"/>
  <c r="K14" i="31" s="1"/>
  <c r="I17" i="31"/>
  <c r="G9" i="30"/>
  <c r="D22" i="15"/>
  <c r="B8" i="15"/>
  <c r="C16" i="15" s="1"/>
  <c r="K17" i="31" l="1"/>
  <c r="K6" i="31"/>
  <c r="D20" i="15"/>
  <c r="C15" i="15"/>
  <c r="C17" i="15" s="1"/>
  <c r="O7" i="29" s="1"/>
  <c r="T7" i="29"/>
  <c r="T21" i="29" s="1"/>
  <c r="O12" i="30" s="1"/>
  <c r="P14" i="30" s="1"/>
  <c r="D25" i="15"/>
  <c r="S7" i="29" s="1"/>
  <c r="D21" i="15"/>
  <c r="Y7" i="29" s="1"/>
  <c r="Y21" i="29" s="1"/>
  <c r="O8" i="30" s="1"/>
  <c r="I5" i="31" l="1"/>
  <c r="I19" i="31" s="1"/>
  <c r="B35" i="31"/>
  <c r="C35" i="31" s="1"/>
  <c r="O21" i="29"/>
  <c r="X7" i="29"/>
  <c r="X21" i="29" s="1"/>
  <c r="O7" i="30" s="1"/>
  <c r="P17" i="30" s="1"/>
  <c r="D33" i="15"/>
  <c r="J5" i="31"/>
  <c r="S21" i="29"/>
  <c r="AA7" i="29"/>
  <c r="AA21" i="29" s="1"/>
  <c r="B13" i="31" s="1"/>
  <c r="C31" i="15"/>
  <c r="K7" i="29" s="1"/>
  <c r="C32" i="15"/>
  <c r="G8" i="30" l="1"/>
  <c r="H5" i="31"/>
  <c r="H19" i="31" s="1"/>
  <c r="B42" i="31"/>
  <c r="K21" i="29"/>
  <c r="G23" i="30"/>
  <c r="B21" i="31"/>
  <c r="E6" i="31"/>
  <c r="AC7" i="29"/>
  <c r="AC21" i="29" s="1"/>
  <c r="B15" i="31" s="1"/>
  <c r="B17" i="31" s="1"/>
  <c r="O11" i="30"/>
  <c r="P13" i="30" s="1"/>
  <c r="P18" i="30" s="1"/>
  <c r="E8" i="31"/>
  <c r="E7" i="31"/>
  <c r="J19" i="31"/>
  <c r="K5" i="31" l="1"/>
  <c r="K19" i="31" s="1"/>
  <c r="B44" i="31"/>
  <c r="E5" i="31"/>
  <c r="E9" i="31" s="1"/>
  <c r="B43" i="31" s="1"/>
  <c r="G24" i="30"/>
  <c r="F25" i="30" s="1"/>
  <c r="F26" i="30" s="1"/>
  <c r="O18" i="30"/>
  <c r="O19" i="30" s="1"/>
  <c r="O20" i="30" s="1"/>
  <c r="B41" i="31"/>
  <c r="B22" i="31"/>
  <c r="B36" i="31"/>
  <c r="C36" i="31" s="1"/>
  <c r="C14" i="31"/>
  <c r="C15" i="31"/>
  <c r="C13" i="31"/>
  <c r="C17" i="31" l="1"/>
  <c r="B23" i="31"/>
  <c r="C22" i="31"/>
  <c r="C21" i="31"/>
  <c r="C23" i="31" l="1"/>
</calcChain>
</file>

<file path=xl/sharedStrings.xml><?xml version="1.0" encoding="utf-8"?>
<sst xmlns="http://schemas.openxmlformats.org/spreadsheetml/2006/main" count="985" uniqueCount="151">
  <si>
    <t>Statut</t>
  </si>
  <si>
    <t>Situation</t>
  </si>
  <si>
    <t>Parts</t>
  </si>
  <si>
    <t>Salaire catégoriel</t>
  </si>
  <si>
    <t>Sursalaire</t>
  </si>
  <si>
    <t>Salaire brut</t>
  </si>
  <si>
    <t>Charges salariales</t>
  </si>
  <si>
    <t>Charges patronales</t>
  </si>
  <si>
    <t>Employé</t>
  </si>
  <si>
    <t>Rubrique</t>
  </si>
  <si>
    <t>Montant salarié</t>
  </si>
  <si>
    <t>Montant employeur</t>
  </si>
  <si>
    <t>Type</t>
  </si>
  <si>
    <t>Gain</t>
  </si>
  <si>
    <t>ITS avant RICF</t>
  </si>
  <si>
    <t>RICF</t>
  </si>
  <si>
    <t>ITS après RICF</t>
  </si>
  <si>
    <t>Taxe d'apprentissage</t>
  </si>
  <si>
    <t>FDFP TFPC</t>
  </si>
  <si>
    <t>FDFP Regul</t>
  </si>
  <si>
    <t>CNPS employeur</t>
  </si>
  <si>
    <t>Prestations familiales</t>
  </si>
  <si>
    <t>Assurance maternité</t>
  </si>
  <si>
    <t>Accident de travail</t>
  </si>
  <si>
    <t>CMU employeur</t>
  </si>
  <si>
    <t>CNPS salarié</t>
  </si>
  <si>
    <t>CMU salarié</t>
  </si>
  <si>
    <t>Indemnité de transport</t>
  </si>
  <si>
    <t>Retenue</t>
  </si>
  <si>
    <t>Net à payer</t>
  </si>
  <si>
    <t>Nb Enfants</t>
  </si>
  <si>
    <t>C</t>
  </si>
  <si>
    <t>Salarié</t>
  </si>
  <si>
    <t>Charge CMU</t>
  </si>
  <si>
    <t>CALCULATEUR DE SALAIRE BRUT</t>
  </si>
  <si>
    <t>M</t>
  </si>
  <si>
    <t>ELIE MOUSSA</t>
  </si>
  <si>
    <t>Partiel</t>
  </si>
  <si>
    <t>TANGARA FANTA</t>
  </si>
  <si>
    <t>OUATTARA ABDOULAYE</t>
  </si>
  <si>
    <t>KARAMOKO MARCEL</t>
  </si>
  <si>
    <t>DAN CESAR</t>
  </si>
  <si>
    <t>ASSI BONAVENTURE</t>
  </si>
  <si>
    <t>BESONGACHE PAUL</t>
  </si>
  <si>
    <t>KONAN JEAN YVES</t>
  </si>
  <si>
    <t>SANOGO MORIBA</t>
  </si>
  <si>
    <t>COULIBALY TEMAN</t>
  </si>
  <si>
    <t>KOUACHY DJOMAN PACOME</t>
  </si>
  <si>
    <t>BLONDE MARCEL</t>
  </si>
  <si>
    <t>GNADOU PAULE MARIANNE</t>
  </si>
  <si>
    <t>Données CIFIDEC</t>
  </si>
  <si>
    <t>Assurance Maternité</t>
  </si>
  <si>
    <t>CMU Salarié</t>
  </si>
  <si>
    <t>CMU Employeur</t>
  </si>
  <si>
    <t>Salariés</t>
  </si>
  <si>
    <t>Caisse de retraite</t>
  </si>
  <si>
    <t>Total CNPS</t>
  </si>
  <si>
    <t>Total CMU</t>
  </si>
  <si>
    <t>TOTAUX</t>
  </si>
  <si>
    <t>Total</t>
  </si>
  <si>
    <t>Local</t>
  </si>
  <si>
    <t>Contribution Employeur</t>
  </si>
  <si>
    <t>Contribution Nationale</t>
  </si>
  <si>
    <t>Non</t>
  </si>
  <si>
    <t>Transport</t>
  </si>
  <si>
    <t>Salaire net</t>
  </si>
  <si>
    <t>ITS Salarié</t>
  </si>
  <si>
    <t>Total ITS</t>
  </si>
  <si>
    <t>Charges sociales et fiscales salariales</t>
  </si>
  <si>
    <t>Charges sociales et fiscales patronales</t>
  </si>
  <si>
    <t>FDFP</t>
  </si>
  <si>
    <t>Matricule</t>
  </si>
  <si>
    <t>Compte SAGE</t>
  </si>
  <si>
    <t>SAL0001</t>
  </si>
  <si>
    <t>SAL0003</t>
  </si>
  <si>
    <t>SAL0002</t>
  </si>
  <si>
    <t>SAL0007</t>
  </si>
  <si>
    <t>SAL0004</t>
  </si>
  <si>
    <t>SAL0008</t>
  </si>
  <si>
    <t>SAL0010</t>
  </si>
  <si>
    <t>SAL0012</t>
  </si>
  <si>
    <t>SAL0013</t>
  </si>
  <si>
    <t>SAL0014</t>
  </si>
  <si>
    <t>SAL0015</t>
  </si>
  <si>
    <t>SAL0017</t>
  </si>
  <si>
    <t>SAL0018</t>
  </si>
  <si>
    <t>Date</t>
  </si>
  <si>
    <t>Compte</t>
  </si>
  <si>
    <t>Libellé</t>
  </si>
  <si>
    <t>Débit</t>
  </si>
  <si>
    <t>Crédit</t>
  </si>
  <si>
    <t>Tiers</t>
  </si>
  <si>
    <t>FNR0036</t>
  </si>
  <si>
    <t>FNR0121</t>
  </si>
  <si>
    <t>Journal</t>
  </si>
  <si>
    <t>SAL</t>
  </si>
  <si>
    <t>Synthèse</t>
  </si>
  <si>
    <t>Livre de Paie</t>
  </si>
  <si>
    <t>Relevé bancaire</t>
  </si>
  <si>
    <t>Relevé - LP</t>
  </si>
  <si>
    <t>Modifier LP</t>
  </si>
  <si>
    <t>TABLEAU DE BORD - PAIE JANVIER 2026</t>
  </si>
  <si>
    <t>📊 KPIs PRINCIPAUX</t>
  </si>
  <si>
    <t>Effectif total</t>
  </si>
  <si>
    <t>Masse salariale brute</t>
  </si>
  <si>
    <t>Salaire brut moyen</t>
  </si>
  <si>
    <t>Total salaires nets</t>
  </si>
  <si>
    <t>Salaire brut médian</t>
  </si>
  <si>
    <t>Total charges salariales</t>
  </si>
  <si>
    <t>Salaire minimum</t>
  </si>
  <si>
    <t>Total charges patronales</t>
  </si>
  <si>
    <t>Salaire maximum</t>
  </si>
  <si>
    <t>Écart-type salaires</t>
  </si>
  <si>
    <t>Ratio net/brut moyen</t>
  </si>
  <si>
    <t>📈 RÉPARTITION DES CHARGES</t>
  </si>
  <si>
    <t>Type de charge</t>
  </si>
  <si>
    <t>Montant</t>
  </si>
  <si>
    <t>% du total</t>
  </si>
  <si>
    <t>CNPS (Total)</t>
  </si>
  <si>
    <t>CMU (Total)</t>
  </si>
  <si>
    <t>ITS &amp; Taxes (Total)</t>
  </si>
  <si>
    <t>TOTAL CHARGES</t>
  </si>
  <si>
    <t>👥 CHARGES SALARIALES vs PATRONALES</t>
  </si>
  <si>
    <t>Catégorie</t>
  </si>
  <si>
    <t>TOTAL</t>
  </si>
  <si>
    <t>🏆 TOP 5 SALAIRES</t>
  </si>
  <si>
    <t>Rang</t>
  </si>
  <si>
    <t>% masse salariale</t>
  </si>
  <si>
    <t>🥇 1</t>
  </si>
  <si>
    <t>🥈 2</t>
  </si>
  <si>
    <t>🥉 3</t>
  </si>
  <si>
    <t>⚠️ ALERTES &amp; INDICATEURS</t>
  </si>
  <si>
    <t>Indicateur</t>
  </si>
  <si>
    <t>Valeur</t>
  </si>
  <si>
    <t>Employés ITS = 0 (exonérés)</t>
  </si>
  <si>
    <t>% charges / masse salariale brute</t>
  </si>
  <si>
    <t>Top 5 = % de la masse salariale</t>
  </si>
  <si>
    <t>📊 DONNÉES GRAPHIQUES - COÛT PAR EMPLOYÉ</t>
  </si>
  <si>
    <t>Coût total</t>
  </si>
  <si>
    <t>📊 RATIOS CLÉS</t>
  </si>
  <si>
    <t>Ratio</t>
  </si>
  <si>
    <t>Interprétation</t>
  </si>
  <si>
    <t>Charges patronales / Masse salariale</t>
  </si>
  <si>
    <t>Coût supplémentaire employeur</t>
  </si>
  <si>
    <t>Salaire net moyen / Salaire brut moyen</t>
  </si>
  <si>
    <t>Taux de rétention du salaire</t>
  </si>
  <si>
    <t>Coût moyen par employé (total)</t>
  </si>
  <si>
    <t>Incluant toutes les charges</t>
  </si>
  <si>
    <t>Transport / Masse salariale nette</t>
  </si>
  <si>
    <t>Part du transport dans le net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</si>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</sst>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€_-;\-* #,##0\ _€_-;_-* &quot;-&quot;\ _€_-;_-@_-"/>
    <numFmt numFmtId="165" formatCode="#,##0.0"/>
    <numFmt numFmtId="166" formatCode="_-* #,##0.00\ _€_-;\-* #,##0.00\ _€_-;_-* &quot;-&quot;\ _€_-;_-@_-"/>
    <numFmt numFmtId="167" formatCode="_-* #,##0.00\ _€_-;\-* #,##0.00\ _€_-;_-* &quot;-&quot;??\ _€_-;_-@_-"/>
    <numFmt numFmtId="168" formatCode="0.0%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i/>
      <sz val="10"/>
      <color theme="1"/>
      <name val="Aptos Display"/>
      <family val="2"/>
      <scheme val="major"/>
    </font>
    <font>
      <b/>
      <i/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theme="0"/>
      <name val="Book Antiqua"/>
      <family val="1"/>
    </font>
    <font>
      <b/>
      <sz val="11"/>
      <color theme="0"/>
      <name val="Book Antiqua"/>
      <family val="1"/>
    </font>
    <font>
      <sz val="11"/>
      <color theme="0"/>
      <name val="Book Antiqua"/>
      <family val="1"/>
    </font>
    <font>
      <b/>
      <u/>
      <sz val="10"/>
      <name val="Aptos Narrow"/>
      <family val="2"/>
      <scheme val="minor"/>
    </font>
    <font>
      <b/>
      <sz val="18"/>
      <color rgb="FFFFFFFF"/>
      <name val="Aptos Display"/>
      <family val="2"/>
    </font>
    <font>
      <b/>
      <sz val="14"/>
      <color rgb="FFFFFFFF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4"/>
      <color theme="1"/>
      <name val="Aptos Display"/>
      <family val="2"/>
    </font>
    <font>
      <b/>
      <sz val="11"/>
      <color rgb="FFFFFFFF"/>
      <name val="Aptos Display"/>
      <family val="2"/>
    </font>
    <font>
      <b/>
      <sz val="14"/>
      <color rgb="FF000000"/>
      <name val="Aptos Display"/>
      <family val="2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b/>
      <sz val="10"/>
      <color rgb="FFFFFFFF"/>
      <name val="Aptos Display"/>
      <family val="2"/>
    </font>
    <font>
      <i/>
      <sz val="11"/>
      <color theme="1"/>
      <name val="Aptos Display"/>
      <family val="2"/>
    </font>
    <font>
      <b/>
      <sz val="11"/>
      <name val="Aptos Display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DDCBA4"/>
        <bgColor indexed="64"/>
      </patternFill>
    </fill>
    <fill>
      <patternFill patternType="solid">
        <fgColor rgb="FF9AB6D3"/>
        <bgColor indexed="64"/>
      </patternFill>
    </fill>
    <fill>
      <patternFill patternType="solid">
        <fgColor rgb="FFAF272F"/>
        <bgColor indexed="64"/>
      </patternFill>
    </fill>
    <fill>
      <patternFill patternType="solid">
        <fgColor rgb="FF007960"/>
        <bgColor indexed="64"/>
      </patternFill>
    </fill>
    <fill>
      <patternFill patternType="solid">
        <fgColor rgb="FFE5E3DD"/>
        <bgColor indexed="64"/>
      </patternFill>
    </fill>
    <fill>
      <patternFill patternType="solid">
        <fgColor rgb="FFD9FFF7"/>
        <bgColor indexed="64"/>
      </patternFill>
    </fill>
    <fill>
      <gradientFill degree="90">
        <stop position="0">
          <color rgb="FF007960"/>
        </stop>
        <stop position="1">
          <color rgb="FFD9FFF7"/>
        </stop>
      </gradientFill>
    </fill>
    <fill>
      <patternFill patternType="solid">
        <fgColor rgb="FFFBE2D5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6E3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1">
    <xf numFmtId="0" fontId="0" fillId="0" borderId="0" xfId="0"/>
    <xf numFmtId="0" fontId="1" fillId="0" borderId="0" xfId="0" applyFont="1"/>
    <xf numFmtId="0" fontId="1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  <protection hidden="1"/>
    </xf>
    <xf numFmtId="166" fontId="1" fillId="0" borderId="1" xfId="0" applyNumberFormat="1" applyFont="1" applyBorder="1" applyAlignment="1" applyProtection="1">
      <alignment horizontal="center" vertical="center"/>
      <protection hidden="1"/>
    </xf>
    <xf numFmtId="164" fontId="0" fillId="0" borderId="0" xfId="0" applyNumberFormat="1"/>
    <xf numFmtId="167" fontId="0" fillId="0" borderId="0" xfId="0" applyNumberFormat="1"/>
    <xf numFmtId="0" fontId="14" fillId="7" borderId="1" xfId="0" applyFont="1" applyFill="1" applyBorder="1" applyProtection="1">
      <protection hidden="1"/>
    </xf>
    <xf numFmtId="0" fontId="14" fillId="7" borderId="1" xfId="0" applyFont="1" applyFill="1" applyBorder="1" applyAlignment="1" applyProtection="1">
      <alignment horizontal="center" vertical="center" wrapText="1"/>
      <protection hidden="1"/>
    </xf>
    <xf numFmtId="0" fontId="14" fillId="7" borderId="1" xfId="0" applyFont="1" applyFill="1" applyBorder="1" applyAlignment="1" applyProtection="1">
      <alignment horizontal="left" vertical="center"/>
      <protection hidden="1"/>
    </xf>
    <xf numFmtId="0" fontId="14" fillId="7" borderId="1" xfId="0" applyFont="1" applyFill="1" applyBorder="1" applyAlignment="1" applyProtection="1">
      <alignment horizontal="center" vertical="center"/>
      <protection hidden="1"/>
    </xf>
    <xf numFmtId="164" fontId="14" fillId="7" borderId="1" xfId="0" applyNumberFormat="1" applyFont="1" applyFill="1" applyBorder="1" applyAlignment="1" applyProtection="1">
      <alignment horizontal="center" vertical="center"/>
      <protection hidden="1"/>
    </xf>
    <xf numFmtId="164" fontId="14" fillId="7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left" vertical="center"/>
      <protection hidden="1"/>
    </xf>
    <xf numFmtId="0" fontId="14" fillId="3" borderId="1" xfId="0" applyFont="1" applyFill="1" applyBorder="1" applyAlignment="1">
      <alignment horizontal="left" vertical="center"/>
    </xf>
    <xf numFmtId="164" fontId="14" fillId="3" borderId="1" xfId="0" applyNumberFormat="1" applyFont="1" applyFill="1" applyBorder="1" applyAlignment="1" applyProtection="1">
      <alignment horizontal="left" vertical="center"/>
      <protection hidden="1"/>
    </xf>
    <xf numFmtId="0" fontId="15" fillId="3" borderId="1" xfId="0" applyFont="1" applyFill="1" applyBorder="1" applyAlignment="1">
      <alignment horizontal="left" vertical="center"/>
    </xf>
    <xf numFmtId="164" fontId="14" fillId="3" borderId="1" xfId="0" applyNumberFormat="1" applyFont="1" applyFill="1" applyBorder="1" applyAlignment="1">
      <alignment horizontal="left" vertical="center"/>
    </xf>
    <xf numFmtId="0" fontId="16" fillId="10" borderId="0" xfId="1" applyFont="1" applyFill="1" applyAlignment="1">
      <alignment horizontal="center" vertical="center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9" fillId="3" borderId="0" xfId="0" applyFont="1" applyFill="1" applyAlignment="1" applyProtection="1">
      <alignment horizontal="centerContinuous" vertical="center"/>
      <protection hidden="1"/>
    </xf>
    <xf numFmtId="0" fontId="0" fillId="3" borderId="0" xfId="0" applyFill="1" applyAlignment="1" applyProtection="1">
      <alignment horizontal="centerContinuous" vertical="center"/>
      <protection hidden="1"/>
    </xf>
    <xf numFmtId="0" fontId="9" fillId="6" borderId="0" xfId="0" applyFont="1" applyFill="1" applyAlignment="1" applyProtection="1">
      <alignment horizontal="centerContinuous" vertical="center"/>
      <protection hidden="1"/>
    </xf>
    <xf numFmtId="0" fontId="0" fillId="6" borderId="0" xfId="0" applyFill="1" applyAlignment="1" applyProtection="1">
      <alignment horizontal="centerContinuous" vertical="center"/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9" fillId="6" borderId="1" xfId="0" applyFont="1" applyFill="1" applyBorder="1" applyAlignment="1" applyProtection="1">
      <alignment horizontal="center" vertical="center"/>
      <protection hidden="1"/>
    </xf>
    <xf numFmtId="14" fontId="10" fillId="0" borderId="12" xfId="0" applyNumberFormat="1" applyFont="1" applyBorder="1" applyAlignment="1" applyProtection="1">
      <alignment horizontal="center" vertical="center"/>
      <protection hidden="1"/>
    </xf>
    <xf numFmtId="0" fontId="10" fillId="0" borderId="12" xfId="0" applyFont="1" applyBorder="1" applyAlignment="1" applyProtection="1">
      <alignment horizontal="center" vertical="center"/>
      <protection hidden="1"/>
    </xf>
    <xf numFmtId="0" fontId="10" fillId="0" borderId="12" xfId="0" applyFont="1" applyBorder="1" applyAlignment="1" applyProtection="1">
      <alignment horizontal="left" vertical="center"/>
      <protection hidden="1"/>
    </xf>
    <xf numFmtId="4" fontId="10" fillId="0" borderId="12" xfId="0" applyNumberFormat="1" applyFont="1" applyBorder="1" applyAlignment="1" applyProtection="1">
      <alignment horizontal="right" vertical="center"/>
      <protection hidden="1"/>
    </xf>
    <xf numFmtId="14" fontId="10" fillId="0" borderId="13" xfId="0" applyNumberFormat="1" applyFont="1" applyBorder="1" applyAlignment="1" applyProtection="1">
      <alignment horizontal="center" vertical="center"/>
      <protection hidden="1"/>
    </xf>
    <xf numFmtId="0" fontId="10" fillId="0" borderId="13" xfId="0" applyFont="1" applyBorder="1" applyAlignment="1" applyProtection="1">
      <alignment horizontal="center" vertical="center"/>
      <protection hidden="1"/>
    </xf>
    <xf numFmtId="0" fontId="10" fillId="0" borderId="13" xfId="0" applyFont="1" applyBorder="1" applyAlignment="1" applyProtection="1">
      <alignment horizontal="left" vertical="center"/>
      <protection hidden="1"/>
    </xf>
    <xf numFmtId="4" fontId="10" fillId="0" borderId="13" xfId="0" applyNumberFormat="1" applyFont="1" applyBorder="1" applyAlignment="1" applyProtection="1">
      <alignment horizontal="right" vertical="center"/>
      <protection hidden="1"/>
    </xf>
    <xf numFmtId="0" fontId="9" fillId="6" borderId="1" xfId="0" applyFont="1" applyFill="1" applyBorder="1" applyAlignment="1" applyProtection="1">
      <alignment horizontal="centerContinuous" vertical="center"/>
      <protection hidden="1"/>
    </xf>
    <xf numFmtId="4" fontId="9" fillId="6" borderId="1" xfId="0" applyNumberFormat="1" applyFont="1" applyFill="1" applyBorder="1" applyAlignment="1" applyProtection="1">
      <alignment horizontal="right" vertical="center"/>
      <protection hidden="1"/>
    </xf>
    <xf numFmtId="4" fontId="11" fillId="4" borderId="1" xfId="0" applyNumberFormat="1" applyFont="1" applyFill="1" applyBorder="1" applyAlignment="1" applyProtection="1">
      <alignment horizontal="centerContinuous" vertical="center"/>
      <protection hidden="1"/>
    </xf>
    <xf numFmtId="0" fontId="10" fillId="4" borderId="1" xfId="0" applyFont="1" applyFill="1" applyBorder="1" applyAlignment="1" applyProtection="1">
      <alignment horizontal="centerContinuous" vertical="center"/>
      <protection hidden="1"/>
    </xf>
    <xf numFmtId="0" fontId="11" fillId="4" borderId="1" xfId="0" applyFont="1" applyFill="1" applyBorder="1" applyAlignment="1" applyProtection="1">
      <alignment horizontal="centerContinuous" vertical="center"/>
      <protection hidden="1"/>
    </xf>
    <xf numFmtId="14" fontId="10" fillId="0" borderId="14" xfId="0" applyNumberFormat="1" applyFont="1" applyBorder="1" applyAlignment="1" applyProtection="1">
      <alignment horizontal="center" vertical="center"/>
      <protection hidden="1"/>
    </xf>
    <xf numFmtId="0" fontId="10" fillId="0" borderId="14" xfId="0" applyFont="1" applyBorder="1" applyAlignment="1" applyProtection="1">
      <alignment horizontal="center" vertical="center"/>
      <protection hidden="1"/>
    </xf>
    <xf numFmtId="0" fontId="10" fillId="0" borderId="14" xfId="0" applyFont="1" applyBorder="1" applyAlignment="1" applyProtection="1">
      <alignment horizontal="left" vertical="center"/>
      <protection hidden="1"/>
    </xf>
    <xf numFmtId="4" fontId="10" fillId="0" borderId="14" xfId="0" applyNumberFormat="1" applyFont="1" applyBorder="1" applyAlignment="1" applyProtection="1">
      <alignment horizontal="right" vertical="center"/>
      <protection hidden="1"/>
    </xf>
    <xf numFmtId="0" fontId="9" fillId="3" borderId="1" xfId="0" applyFont="1" applyFill="1" applyBorder="1" applyAlignment="1" applyProtection="1">
      <alignment horizontal="centerContinuous" vertical="center"/>
      <protection hidden="1"/>
    </xf>
    <xf numFmtId="4" fontId="9" fillId="3" borderId="1" xfId="0" applyNumberFormat="1" applyFont="1" applyFill="1" applyBorder="1" applyAlignment="1" applyProtection="1">
      <alignment horizontal="right" vertical="center"/>
      <protection hidden="1"/>
    </xf>
    <xf numFmtId="0" fontId="10" fillId="0" borderId="0" xfId="0" applyFont="1" applyProtection="1">
      <protection hidden="1"/>
    </xf>
    <xf numFmtId="0" fontId="3" fillId="0" borderId="0" xfId="0" applyFont="1" applyProtection="1">
      <protection hidden="1"/>
    </xf>
    <xf numFmtId="14" fontId="3" fillId="0" borderId="0" xfId="0" applyNumberFormat="1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2" xfId="0" applyFont="1" applyBorder="1" applyAlignment="1" applyProtection="1">
      <alignment vertical="center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0" fontId="8" fillId="6" borderId="1" xfId="0" applyFont="1" applyFill="1" applyBorder="1" applyAlignment="1" applyProtection="1">
      <alignment horizontal="center" vertical="center" wrapText="1"/>
      <protection hidden="1"/>
    </xf>
    <xf numFmtId="0" fontId="8" fillId="6" borderId="11" xfId="0" applyFont="1" applyFill="1" applyBorder="1" applyAlignment="1" applyProtection="1">
      <alignment horizontal="center" vertical="center" wrapText="1"/>
      <protection hidden="1"/>
    </xf>
    <xf numFmtId="0" fontId="8" fillId="7" borderId="11" xfId="0" applyFont="1" applyFill="1" applyBorder="1" applyAlignment="1" applyProtection="1">
      <alignment horizontal="center" vertical="center" wrapText="1"/>
      <protection hidden="1"/>
    </xf>
    <xf numFmtId="0" fontId="8" fillId="7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left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4" fontId="6" fillId="0" borderId="1" xfId="0" applyNumberFormat="1" applyFont="1" applyBorder="1" applyAlignment="1" applyProtection="1">
      <alignment horizontal="right" vertical="center"/>
      <protection hidden="1"/>
    </xf>
    <xf numFmtId="4" fontId="7" fillId="0" borderId="1" xfId="0" applyNumberFormat="1" applyFont="1" applyBorder="1" applyAlignment="1" applyProtection="1">
      <alignment horizontal="right" vertical="center"/>
      <protection hidden="1"/>
    </xf>
    <xf numFmtId="0" fontId="7" fillId="8" borderId="1" xfId="0" applyFont="1" applyFill="1" applyBorder="1" applyAlignment="1" applyProtection="1">
      <alignment horizontal="left" vertical="center"/>
      <protection hidden="1"/>
    </xf>
    <xf numFmtId="0" fontId="7" fillId="8" borderId="1" xfId="0" applyFont="1" applyFill="1" applyBorder="1" applyAlignment="1" applyProtection="1">
      <alignment horizontal="center" vertical="center"/>
      <protection hidden="1"/>
    </xf>
    <xf numFmtId="4" fontId="6" fillId="8" borderId="1" xfId="0" applyNumberFormat="1" applyFont="1" applyFill="1" applyBorder="1" applyAlignment="1" applyProtection="1">
      <alignment horizontal="right" vertical="center"/>
      <protection hidden="1"/>
    </xf>
    <xf numFmtId="0" fontId="0" fillId="8" borderId="0" xfId="0" applyFill="1" applyProtection="1">
      <protection hidden="1"/>
    </xf>
    <xf numFmtId="4" fontId="7" fillId="8" borderId="1" xfId="0" applyNumberFormat="1" applyFont="1" applyFill="1" applyBorder="1" applyAlignment="1" applyProtection="1">
      <alignment horizontal="right" vertical="center"/>
      <protection hidden="1"/>
    </xf>
    <xf numFmtId="0" fontId="8" fillId="5" borderId="1" xfId="0" applyFont="1" applyFill="1" applyBorder="1" applyAlignment="1" applyProtection="1">
      <alignment horizontal="centerContinuous" vertical="center"/>
      <protection hidden="1"/>
    </xf>
    <xf numFmtId="4" fontId="8" fillId="5" borderId="1" xfId="0" applyNumberFormat="1" applyFont="1" applyFill="1" applyBorder="1" applyAlignment="1" applyProtection="1">
      <alignment horizontal="right" vertical="center"/>
      <protection hidden="1"/>
    </xf>
    <xf numFmtId="4" fontId="8" fillId="3" borderId="1" xfId="0" applyNumberFormat="1" applyFont="1" applyFill="1" applyBorder="1" applyAlignment="1" applyProtection="1">
      <alignment horizontal="right" vertical="center"/>
      <protection hidden="1"/>
    </xf>
    <xf numFmtId="4" fontId="8" fillId="6" borderId="1" xfId="0" applyNumberFormat="1" applyFont="1" applyFill="1" applyBorder="1" applyAlignment="1" applyProtection="1">
      <alignment horizontal="right" vertical="center"/>
      <protection hidden="1"/>
    </xf>
    <xf numFmtId="4" fontId="8" fillId="7" borderId="1" xfId="0" applyNumberFormat="1" applyFont="1" applyFill="1" applyBorder="1" applyAlignment="1" applyProtection="1">
      <alignment horizontal="right" vertical="center"/>
      <protection hidden="1"/>
    </xf>
    <xf numFmtId="2" fontId="0" fillId="0" borderId="0" xfId="0" applyNumberFormat="1"/>
    <xf numFmtId="0" fontId="17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19" fillId="0" borderId="0" xfId="0" applyFont="1"/>
    <xf numFmtId="0" fontId="20" fillId="9" borderId="0" xfId="0" applyFont="1" applyFill="1"/>
    <xf numFmtId="0" fontId="21" fillId="0" borderId="0" xfId="0" applyFont="1" applyAlignment="1">
      <alignment horizontal="center"/>
    </xf>
    <xf numFmtId="3" fontId="21" fillId="0" borderId="0" xfId="0" applyNumberFormat="1" applyFont="1" applyAlignment="1">
      <alignment horizontal="right"/>
    </xf>
    <xf numFmtId="0" fontId="22" fillId="6" borderId="0" xfId="0" applyFont="1" applyFill="1"/>
    <xf numFmtId="3" fontId="18" fillId="12" borderId="0" xfId="0" applyNumberFormat="1" applyFont="1" applyFill="1" applyAlignment="1">
      <alignment horizontal="right"/>
    </xf>
    <xf numFmtId="168" fontId="18" fillId="6" borderId="0" xfId="0" applyNumberFormat="1" applyFont="1" applyFill="1" applyAlignment="1">
      <alignment horizontal="right"/>
    </xf>
    <xf numFmtId="0" fontId="18" fillId="3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3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168" fontId="19" fillId="0" borderId="0" xfId="0" applyNumberFormat="1" applyFont="1" applyAlignment="1">
      <alignment horizontal="center"/>
    </xf>
    <xf numFmtId="0" fontId="22" fillId="3" borderId="0" xfId="0" applyFont="1" applyFill="1"/>
    <xf numFmtId="3" fontId="22" fillId="3" borderId="0" xfId="0" applyNumberFormat="1" applyFont="1" applyFill="1" applyAlignment="1">
      <alignment horizontal="right"/>
    </xf>
    <xf numFmtId="168" fontId="22" fillId="3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3" fontId="22" fillId="6" borderId="0" xfId="0" applyNumberFormat="1" applyFont="1" applyFill="1" applyAlignment="1">
      <alignment horizontal="right"/>
    </xf>
    <xf numFmtId="168" fontId="22" fillId="6" borderId="0" xfId="0" applyNumberFormat="1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24" fillId="0" borderId="0" xfId="0" applyFont="1"/>
    <xf numFmtId="3" fontId="24" fillId="0" borderId="0" xfId="0" applyNumberFormat="1" applyFont="1"/>
    <xf numFmtId="3" fontId="25" fillId="0" borderId="0" xfId="0" applyNumberFormat="1" applyFont="1"/>
    <xf numFmtId="0" fontId="26" fillId="7" borderId="0" xfId="0" applyFont="1" applyFill="1" applyAlignment="1">
      <alignment horizontal="center"/>
    </xf>
    <xf numFmtId="3" fontId="26" fillId="7" borderId="0" xfId="0" applyNumberFormat="1" applyFont="1" applyFill="1"/>
    <xf numFmtId="0" fontId="20" fillId="5" borderId="0" xfId="0" applyFont="1" applyFill="1" applyAlignment="1">
      <alignment horizontal="center"/>
    </xf>
    <xf numFmtId="0" fontId="27" fillId="0" borderId="0" xfId="0" applyFont="1"/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 vertical="center"/>
    </xf>
    <xf numFmtId="0" fontId="28" fillId="9" borderId="0" xfId="0" applyFont="1" applyFill="1"/>
    <xf numFmtId="0" fontId="28" fillId="11" borderId="0" xfId="0" applyFont="1" applyFill="1"/>
    <xf numFmtId="0" fontId="28" fillId="12" borderId="0" xfId="0" applyFont="1" applyFill="1"/>
    <xf numFmtId="0" fontId="18" fillId="7" borderId="0" xfId="0" applyFont="1" applyFill="1" applyAlignment="1">
      <alignment horizontal="left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hidden="1"/>
    </xf>
    <xf numFmtId="4" fontId="0" fillId="0" borderId="0" xfId="0" applyNumberFormat="1"/>
    <xf numFmtId="0" fontId="8" fillId="3" borderId="6" xfId="0" applyFont="1" applyFill="1" applyBorder="1" applyAlignment="1" applyProtection="1">
      <alignment horizontal="center" vertical="center"/>
      <protection hidden="1"/>
    </xf>
    <xf numFmtId="0" fontId="8" fillId="3" borderId="7" xfId="0" applyFont="1" applyFill="1" applyBorder="1" applyAlignment="1" applyProtection="1">
      <alignment horizontal="center" vertical="center"/>
      <protection hidden="1"/>
    </xf>
    <xf numFmtId="0" fontId="8" fillId="3" borderId="8" xfId="0" applyFont="1" applyFill="1" applyBorder="1" applyAlignment="1" applyProtection="1">
      <alignment horizontal="center" vertical="center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8" fillId="3" borderId="2" xfId="0" applyFont="1" applyFill="1" applyBorder="1" applyAlignment="1" applyProtection="1">
      <alignment horizontal="center" vertical="center"/>
      <protection hidden="1"/>
    </xf>
    <xf numFmtId="0" fontId="8" fillId="3" borderId="10" xfId="0" applyFont="1" applyFill="1" applyBorder="1" applyAlignment="1" applyProtection="1">
      <alignment horizontal="center" vertical="center"/>
      <protection hidden="1"/>
    </xf>
    <xf numFmtId="0" fontId="8" fillId="6" borderId="1" xfId="0" applyFont="1" applyFill="1" applyBorder="1" applyAlignment="1" applyProtection="1">
      <alignment horizontal="center" vertical="center"/>
      <protection hidden="1"/>
    </xf>
    <xf numFmtId="0" fontId="2" fillId="9" borderId="1" xfId="0" applyFont="1" applyFill="1" applyBorder="1" applyAlignment="1" applyProtection="1">
      <alignment horizontal="center" vertical="center"/>
      <protection locked="0"/>
    </xf>
    <xf numFmtId="165" fontId="2" fillId="9" borderId="1" xfId="0" applyNumberFormat="1" applyFont="1" applyFill="1" applyBorder="1" applyAlignment="1" applyProtection="1">
      <alignment horizontal="center" vertical="center"/>
      <protection hidden="1"/>
    </xf>
    <xf numFmtId="0" fontId="4" fillId="0" borderId="2" xfId="0" applyFont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2" fillId="9" borderId="3" xfId="0" applyFont="1" applyFill="1" applyBorder="1" applyAlignment="1" applyProtection="1">
      <alignment horizontal="center" vertical="center"/>
      <protection locked="0"/>
    </xf>
    <xf numFmtId="0" fontId="2" fillId="9" borderId="4" xfId="0" applyFont="1" applyFill="1" applyBorder="1" applyAlignment="1" applyProtection="1">
      <alignment horizontal="center" vertical="center"/>
      <protection locked="0"/>
    </xf>
    <xf numFmtId="0" fontId="2" fillId="9" borderId="5" xfId="0" applyFont="1" applyFill="1" applyBorder="1" applyAlignment="1" applyProtection="1">
      <alignment horizontal="center" vertical="center"/>
      <protection locked="0"/>
    </xf>
  </cellXfs>
  <cellStyles count="2">
    <cellStyle name="Lien hypertexte" xfId="1" builtinId="8"/>
    <cellStyle name="Normal" xfId="0" builtinId="0"/>
  </cellStyles>
  <dxfs count="17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007960"/>
        </patternFill>
      </fill>
    </dxf>
    <dxf>
      <font>
        <color theme="0"/>
      </font>
      <fill>
        <patternFill>
          <bgColor rgb="FFAF272F"/>
        </patternFill>
      </fill>
    </dxf>
    <dxf>
      <font>
        <color theme="0"/>
      </font>
      <fill>
        <patternFill>
          <bgColor rgb="FFAF272F"/>
        </patternFill>
      </fill>
    </dxf>
    <dxf>
      <font>
        <color theme="0"/>
      </font>
      <fill>
        <patternFill>
          <bgColor rgb="FF007960"/>
        </patternFill>
      </fill>
    </dxf>
  </dxfs>
  <tableStyles count="0" defaultTableStyle="TableStyleMedium2" defaultPivotStyle="PivotStyleLight16"/>
  <colors>
    <mruColors>
      <color rgb="FFD9FFF7"/>
      <color rgb="FF007960"/>
      <color rgb="FFED8B00"/>
      <color rgb="FFAF272F"/>
      <color rgb="FFDDCBA4"/>
      <color rgb="FFE5E3DD"/>
      <color rgb="FF9AB6D3"/>
      <color rgb="FFF4EEE0"/>
      <color rgb="FFFF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charges sociales et fiscales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'Tableau de Bord'!$B$12</c:f>
              <c:strCache>
                <c:ptCount val="1"/>
                <c:pt idx="0">
                  <c:v>Montant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69-4B4B-A9F9-146F360191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69-4B4B-A9F9-146F360191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69-4B4B-A9F9-146F360191B6}"/>
              </c:ext>
            </c:extLst>
          </c:dPt>
          <c:cat>
            <c:strRef>
              <c:f>'Tableau de Bord'!$A$13:$A$15</c:f>
              <c:strCache>
                <c:ptCount val="3"/>
                <c:pt idx="0">
                  <c:v>CNPS (Total)</c:v>
                </c:pt>
                <c:pt idx="1">
                  <c:v>CMU (Total)</c:v>
                </c:pt>
                <c:pt idx="2">
                  <c:v>ITS &amp; Taxes (Total)</c:v>
                </c:pt>
              </c:strCache>
            </c:strRef>
          </c:cat>
          <c:val>
            <c:numRef>
              <c:f>'Tableau de Bord'!$B$13:$B$15</c:f>
              <c:numCache>
                <c:formatCode>#,##0</c:formatCode>
                <c:ptCount val="3"/>
                <c:pt idx="0">
                  <c:v>2312392.5</c:v>
                </c:pt>
                <c:pt idx="1">
                  <c:v>35000</c:v>
                </c:pt>
                <c:pt idx="2">
                  <c:v>5004928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4-468A-889A-7DEBD4899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Charges salariales vs patronales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'Tableau de Bord'!$B$20</c:f>
              <c:strCache>
                <c:ptCount val="1"/>
                <c:pt idx="0">
                  <c:v>Montant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82-452B-90A8-E877199D0C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82-452B-90A8-E877199D0CDE}"/>
              </c:ext>
            </c:extLst>
          </c:dPt>
          <c:cat>
            <c:strRef>
              <c:f>'Tableau de Bord'!$A$21:$A$22</c:f>
              <c:strCache>
                <c:ptCount val="2"/>
                <c:pt idx="0">
                  <c:v>Charges salariales</c:v>
                </c:pt>
                <c:pt idx="1">
                  <c:v>Charges patronales</c:v>
                </c:pt>
              </c:strCache>
            </c:strRef>
          </c:cat>
          <c:val>
            <c:numRef>
              <c:f>'Tableau de Bord'!$B$21:$B$22</c:f>
              <c:numCache>
                <c:formatCode>#,##0</c:formatCode>
                <c:ptCount val="2"/>
                <c:pt idx="0">
                  <c:v>4941803</c:v>
                </c:pt>
                <c:pt idx="1">
                  <c:v>2410517.5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7-4711-BE42-0131DB861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Coût total par employé (décomposition)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'Tableau de Bord'!$H$4</c:f>
              <c:strCache>
                <c:ptCount val="1"/>
                <c:pt idx="0">
                  <c:v>Salaire 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Bord'!$G$5:$G$18</c:f>
              <c:strCache>
                <c:ptCount val="14"/>
                <c:pt idx="0">
                  <c:v>ELIE MOUSSA</c:v>
                </c:pt>
                <c:pt idx="1">
                  <c:v>TANGARA FANTA</c:v>
                </c:pt>
                <c:pt idx="2">
                  <c:v>OUATTARA ABDOULAYE</c:v>
                </c:pt>
                <c:pt idx="3">
                  <c:v>KARAMOKO MARCEL</c:v>
                </c:pt>
                <c:pt idx="4">
                  <c:v>DAN CESAR</c:v>
                </c:pt>
                <c:pt idx="5">
                  <c:v>ASSI BONAVENTURE</c:v>
                </c:pt>
                <c:pt idx="6">
                  <c:v>BESONGACHE PAUL</c:v>
                </c:pt>
                <c:pt idx="7">
                  <c:v>KONAN JEAN YVES</c:v>
                </c:pt>
                <c:pt idx="8">
                  <c:v>SANOGO MORIBA</c:v>
                </c:pt>
                <c:pt idx="9">
                  <c:v>COULIBALY TEMAN</c:v>
                </c:pt>
                <c:pt idx="10">
                  <c:v>KOUACHY DJOMAN PACOME</c:v>
                </c:pt>
                <c:pt idx="12">
                  <c:v>BLONDE MARCEL</c:v>
                </c:pt>
                <c:pt idx="13">
                  <c:v>GNADOU PAULE MARIANNE</c:v>
                </c:pt>
              </c:strCache>
            </c:strRef>
          </c:cat>
          <c:val>
            <c:numRef>
              <c:f>'Tableau de Bord'!$H$5:$H$18</c:f>
              <c:numCache>
                <c:formatCode>#,##0</c:formatCode>
                <c:ptCount val="14"/>
                <c:pt idx="0">
                  <c:v>293528</c:v>
                </c:pt>
                <c:pt idx="1">
                  <c:v>2509418</c:v>
                </c:pt>
                <c:pt idx="2">
                  <c:v>257524</c:v>
                </c:pt>
                <c:pt idx="3">
                  <c:v>1338346</c:v>
                </c:pt>
                <c:pt idx="4">
                  <c:v>328206</c:v>
                </c:pt>
                <c:pt idx="5">
                  <c:v>208846</c:v>
                </c:pt>
                <c:pt idx="6">
                  <c:v>4143983</c:v>
                </c:pt>
                <c:pt idx="7">
                  <c:v>738570</c:v>
                </c:pt>
                <c:pt idx="8">
                  <c:v>205477</c:v>
                </c:pt>
                <c:pt idx="9">
                  <c:v>410205</c:v>
                </c:pt>
                <c:pt idx="10">
                  <c:v>462350</c:v>
                </c:pt>
                <c:pt idx="12">
                  <c:v>559523</c:v>
                </c:pt>
                <c:pt idx="13">
                  <c:v>2317096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5-4835-A39F-44151DE2A9C8}"/>
            </c:ext>
          </c:extLst>
        </c:ser>
        <c:ser>
          <c:idx val="1"/>
          <c:order val="1"/>
          <c:tx>
            <c:strRef>
              <c:f>'Tableau de Bord'!$I$4</c:f>
              <c:strCache>
                <c:ptCount val="1"/>
                <c:pt idx="0">
                  <c:v>Charges salariales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Bord'!$G$5:$G$18</c:f>
              <c:strCache>
                <c:ptCount val="14"/>
                <c:pt idx="0">
                  <c:v>ELIE MOUSSA</c:v>
                </c:pt>
                <c:pt idx="1">
                  <c:v>TANGARA FANTA</c:v>
                </c:pt>
                <c:pt idx="2">
                  <c:v>OUATTARA ABDOULAYE</c:v>
                </c:pt>
                <c:pt idx="3">
                  <c:v>KARAMOKO MARCEL</c:v>
                </c:pt>
                <c:pt idx="4">
                  <c:v>DAN CESAR</c:v>
                </c:pt>
                <c:pt idx="5">
                  <c:v>ASSI BONAVENTURE</c:v>
                </c:pt>
                <c:pt idx="6">
                  <c:v>BESONGACHE PAUL</c:v>
                </c:pt>
                <c:pt idx="7">
                  <c:v>KONAN JEAN YVES</c:v>
                </c:pt>
                <c:pt idx="8">
                  <c:v>SANOGO MORIBA</c:v>
                </c:pt>
                <c:pt idx="9">
                  <c:v>COULIBALY TEMAN</c:v>
                </c:pt>
                <c:pt idx="10">
                  <c:v>KOUACHY DJOMAN PACOME</c:v>
                </c:pt>
                <c:pt idx="12">
                  <c:v>BLONDE MARCEL</c:v>
                </c:pt>
                <c:pt idx="13">
                  <c:v>GNADOU PAULE MARIANNE</c:v>
                </c:pt>
              </c:strCache>
            </c:strRef>
          </c:cat>
          <c:val>
            <c:numRef>
              <c:f>'Tableau de Bord'!$I$5:$I$18</c:f>
              <c:numCache>
                <c:formatCode>#,##0</c:formatCode>
                <c:ptCount val="14"/>
                <c:pt idx="0">
                  <c:v>52191</c:v>
                </c:pt>
                <c:pt idx="1">
                  <c:v>1045642</c:v>
                </c:pt>
                <c:pt idx="2">
                  <c:v>18499</c:v>
                </c:pt>
                <c:pt idx="3">
                  <c:v>500615</c:v>
                </c:pt>
                <c:pt idx="4">
                  <c:v>51458</c:v>
                </c:pt>
                <c:pt idx="5">
                  <c:v>36529</c:v>
                </c:pt>
                <c:pt idx="6">
                  <c:v>1667417</c:v>
                </c:pt>
                <c:pt idx="7">
                  <c:v>239880</c:v>
                </c:pt>
                <c:pt idx="8">
                  <c:v>13933</c:v>
                </c:pt>
                <c:pt idx="9">
                  <c:v>110448</c:v>
                </c:pt>
                <c:pt idx="10">
                  <c:v>108709</c:v>
                </c:pt>
                <c:pt idx="12">
                  <c:v>152077</c:v>
                </c:pt>
                <c:pt idx="13">
                  <c:v>944405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45-4835-A39F-44151DE2A9C8}"/>
            </c:ext>
          </c:extLst>
        </c:ser>
        <c:ser>
          <c:idx val="2"/>
          <c:order val="2"/>
          <c:tx>
            <c:strRef>
              <c:f>'Tableau de Bord'!$J$4</c:f>
              <c:strCache>
                <c:ptCount val="1"/>
                <c:pt idx="0">
                  <c:v>Charges patronales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Bord'!$G$5:$G$18</c:f>
              <c:strCache>
                <c:ptCount val="14"/>
                <c:pt idx="0">
                  <c:v>ELIE MOUSSA</c:v>
                </c:pt>
                <c:pt idx="1">
                  <c:v>TANGARA FANTA</c:v>
                </c:pt>
                <c:pt idx="2">
                  <c:v>OUATTARA ABDOULAYE</c:v>
                </c:pt>
                <c:pt idx="3">
                  <c:v>KARAMOKO MARCEL</c:v>
                </c:pt>
                <c:pt idx="4">
                  <c:v>DAN CESAR</c:v>
                </c:pt>
                <c:pt idx="5">
                  <c:v>ASSI BONAVENTURE</c:v>
                </c:pt>
                <c:pt idx="6">
                  <c:v>BESONGACHE PAUL</c:v>
                </c:pt>
                <c:pt idx="7">
                  <c:v>KONAN JEAN YVES</c:v>
                </c:pt>
                <c:pt idx="8">
                  <c:v>SANOGO MORIBA</c:v>
                </c:pt>
                <c:pt idx="9">
                  <c:v>COULIBALY TEMAN</c:v>
                </c:pt>
                <c:pt idx="10">
                  <c:v>KOUACHY DJOMAN PACOME</c:v>
                </c:pt>
                <c:pt idx="12">
                  <c:v>BLONDE MARCEL</c:v>
                </c:pt>
                <c:pt idx="13">
                  <c:v>GNADOU PAULE MARIANNE</c:v>
                </c:pt>
              </c:strCache>
            </c:strRef>
          </c:cat>
          <c:val>
            <c:numRef>
              <c:f>'Tableau de Bord'!$J$5:$J$18</c:f>
              <c:numCache>
                <c:formatCode>#,##0</c:formatCode>
                <c:ptCount val="14"/>
                <c:pt idx="0">
                  <c:v>71259.5</c:v>
                </c:pt>
                <c:pt idx="1">
                  <c:v>367639.5</c:v>
                </c:pt>
                <c:pt idx="2">
                  <c:v>36894.5</c:v>
                </c:pt>
                <c:pt idx="3">
                  <c:v>198504.5</c:v>
                </c:pt>
                <c:pt idx="4">
                  <c:v>46777.5</c:v>
                </c:pt>
                <c:pt idx="5">
                  <c:v>31178.5</c:v>
                </c:pt>
                <c:pt idx="6">
                  <c:v>963706.5</c:v>
                </c:pt>
                <c:pt idx="7">
                  <c:v>108149.5</c:v>
                </c:pt>
                <c:pt idx="8">
                  <c:v>29951.5</c:v>
                </c:pt>
                <c:pt idx="9">
                  <c:v>60081.5</c:v>
                </c:pt>
                <c:pt idx="10">
                  <c:v>66374.5</c:v>
                </c:pt>
                <c:pt idx="12">
                  <c:v>80629.5</c:v>
                </c:pt>
                <c:pt idx="13">
                  <c:v>349370.5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45-4835-A39F-44151DE2A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8647135"/>
        <c:axId val="1708645215"/>
      </c:barChart>
      <c:catAx>
        <c:axId val="170864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8645215"/>
        <c:crosses val="autoZero"/>
        <c:auto val="1"/>
        <c:lblAlgn val="ctr"/>
        <c:lblOffset val="100"/>
        <c:noMultiLvlLbl val="0"/>
      </c:catAx>
      <c:valAx>
        <c:axId val="170864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864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5 - Salaires bruts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'Tableau de Bord'!$C$26</c:f>
              <c:strCache>
                <c:ptCount val="1"/>
                <c:pt idx="0">
                  <c:v>Salaire brut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Bord'!$B$27:$B$31</c:f>
              <c:strCache>
                <c:ptCount val="5"/>
                <c:pt idx="0">
                  <c:v>BESONGACHE PAUL</c:v>
                </c:pt>
                <c:pt idx="1">
                  <c:v>TANGARA FANTA</c:v>
                </c:pt>
                <c:pt idx="2">
                  <c:v>GNADOU PAULE MARIANNE</c:v>
                </c:pt>
                <c:pt idx="3">
                  <c:v>KARAMOKO MARCEL</c:v>
                </c:pt>
                <c:pt idx="4">
                  <c:v>KONAN JEAN YVES</c:v>
                </c:pt>
              </c:strCache>
            </c:strRef>
          </c:cat>
          <c:val>
            <c:numRef>
              <c:f>'Tableau de Bord'!$C$27:$C$31</c:f>
              <c:numCache>
                <c:formatCode>#,##0</c:formatCode>
                <c:ptCount val="5"/>
                <c:pt idx="0">
                  <c:v>5781400</c:v>
                </c:pt>
                <c:pt idx="1">
                  <c:v>3525060</c:v>
                </c:pt>
                <c:pt idx="2">
                  <c:v>3231501</c:v>
                </c:pt>
                <c:pt idx="3">
                  <c:v>1808961</c:v>
                </c:pt>
                <c:pt idx="4">
                  <c:v>948450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796-B047-5EB045154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7307471"/>
        <c:axId val="1597305551"/>
      </c:barChart>
      <c:catAx>
        <c:axId val="1597307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305551"/>
        <c:crosses val="autoZero"/>
        <c:auto val="1"/>
        <c:lblAlgn val="ctr"/>
        <c:lblOffset val="100"/>
        <c:noMultiLvlLbl val="0"/>
      </c:catAx>
      <c:valAx>
        <c:axId val="159730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30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Comparaison des salaires bruts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'Tableau de Bord'!$H$21</c:f>
              <c:strCache>
                <c:ptCount val="1"/>
                <c:pt idx="0">
                  <c:v>Salaire brut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Bord'!$G$22:$G$35</c:f>
              <c:strCache>
                <c:ptCount val="14"/>
                <c:pt idx="0">
                  <c:v>ELIE MOUSSA</c:v>
                </c:pt>
                <c:pt idx="1">
                  <c:v>TANGARA FANTA</c:v>
                </c:pt>
                <c:pt idx="2">
                  <c:v>OUATTARA ABDOULAYE</c:v>
                </c:pt>
                <c:pt idx="3">
                  <c:v>KARAMOKO MARCEL</c:v>
                </c:pt>
                <c:pt idx="4">
                  <c:v>DAN CESAR</c:v>
                </c:pt>
                <c:pt idx="5">
                  <c:v>ASSI BONAVENTURE</c:v>
                </c:pt>
                <c:pt idx="6">
                  <c:v>BESONGACHE PAUL</c:v>
                </c:pt>
                <c:pt idx="7">
                  <c:v>KONAN JEAN YVES</c:v>
                </c:pt>
                <c:pt idx="8">
                  <c:v>SANOGO MORIBA</c:v>
                </c:pt>
                <c:pt idx="9">
                  <c:v>COULIBALY TEMAN</c:v>
                </c:pt>
                <c:pt idx="10">
                  <c:v>KOUACHY DJOMAN PACOME</c:v>
                </c:pt>
                <c:pt idx="12">
                  <c:v>BLONDE MARCEL</c:v>
                </c:pt>
                <c:pt idx="13">
                  <c:v>GNADOU PAULE MARIANNE</c:v>
                </c:pt>
              </c:strCache>
            </c:strRef>
          </c:cat>
          <c:val>
            <c:numRef>
              <c:f>'Tableau de Bord'!$H$22:$H$35</c:f>
              <c:numCache>
                <c:formatCode>#,##0</c:formatCode>
                <c:ptCount val="14"/>
                <c:pt idx="0">
                  <c:v>315719</c:v>
                </c:pt>
                <c:pt idx="1">
                  <c:v>3525060</c:v>
                </c:pt>
                <c:pt idx="2">
                  <c:v>246023</c:v>
                </c:pt>
                <c:pt idx="3">
                  <c:v>1808961</c:v>
                </c:pt>
                <c:pt idx="4">
                  <c:v>349664</c:v>
                </c:pt>
                <c:pt idx="5">
                  <c:v>215375</c:v>
                </c:pt>
                <c:pt idx="6">
                  <c:v>5781400</c:v>
                </c:pt>
                <c:pt idx="7">
                  <c:v>948450</c:v>
                </c:pt>
                <c:pt idx="8">
                  <c:v>189410</c:v>
                </c:pt>
                <c:pt idx="9">
                  <c:v>490653</c:v>
                </c:pt>
                <c:pt idx="10">
                  <c:v>541059</c:v>
                </c:pt>
                <c:pt idx="12">
                  <c:v>681600</c:v>
                </c:pt>
                <c:pt idx="13">
                  <c:v>3231501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A08-9E0D-173AF94A2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7501375"/>
        <c:axId val="1597500895"/>
      </c:barChart>
      <c:catAx>
        <c:axId val="159750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500895"/>
        <c:crosses val="autoZero"/>
        <c:auto val="1"/>
        <c:lblAlgn val="ctr"/>
        <c:lblOffset val="100"/>
        <c:noMultiLvlLbl val="0"/>
      </c:catAx>
      <c:valAx>
        <c:axId val="159750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50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18</xdr:col>
      <xdr:colOff>0</xdr:colOff>
      <xdr:row>14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BE1B7E-DE90-A0C8-AC3B-FAAC30073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13</xdr:row>
      <xdr:rowOff>0</xdr:rowOff>
    </xdr:from>
    <xdr:to>
      <xdr:col>18</xdr:col>
      <xdr:colOff>0</xdr:colOff>
      <xdr:row>26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0A29B19-4132-4251-FC50-B2324DD94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1000125</xdr:colOff>
      <xdr:row>37</xdr:row>
      <xdr:rowOff>104775</xdr:rowOff>
    </xdr:from>
    <xdr:to>
      <xdr:col>7</xdr:col>
      <xdr:colOff>1257300</xdr:colOff>
      <xdr:row>51</xdr:row>
      <xdr:rowOff>133350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41D0C1C-96CF-57EF-53BC-0E1BE1F5D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18</xdr:col>
      <xdr:colOff>0</xdr:colOff>
      <xdr:row>37</xdr:row>
      <xdr:rowOff>171450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8B11D71-115E-E5B6-F321-F21FC0AEC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1247775</xdr:colOff>
      <xdr:row>37</xdr:row>
      <xdr:rowOff>104775</xdr:rowOff>
    </xdr:from>
    <xdr:to>
      <xdr:col>11</xdr:col>
      <xdr:colOff>752475</xdr:colOff>
      <xdr:row>51</xdr:row>
      <xdr:rowOff>133350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B4EB51D-A73A-811E-3A4A-46B4D1DB5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psrh-my.sharepoint.com/personal/marce777_tpsrh_onmicrosoft_com/Documents/SALAIRES_NEPER_VENTURES.xlsm" TargetMode="External"/><Relationship Id="rId1" Type="http://schemas.openxmlformats.org/officeDocument/2006/relationships/externalLinkPath" Target="https://tpsrh-my.sharepoint.com/personal/marce777_tpsrh_onmicrosoft_com/Documents/SALAIRES_NEPER_VENTU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e personnel"/>
      <sheetName val="Livre de paie"/>
      <sheetName val="Editions bulletins"/>
      <sheetName val="Comptabilisation"/>
      <sheetName val="Contrôle pièces"/>
      <sheetName val="Congés Salariés"/>
      <sheetName val="Lis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BLONDE DUON MARCEL</v>
          </cell>
          <cell r="B2" t="str">
            <v>202401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0FA6B1-5929-4344-8959-EC492B767308}">
  <we:reference id="wa200009404" version="1.0.0.5" store="fr-FR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0E1C-6CEA-4673-9C4C-539A3DB752B5}">
  <sheetPr>
    <tabColor rgb="FF007960"/>
  </sheetPr>
  <dimension ref="A1:K44"/>
  <sheetViews>
    <sheetView showGridLines="0" workbookViewId="0"/>
  </sheetViews>
  <sheetFormatPr baseColWidth="10" defaultRowHeight="15" x14ac:dyDescent="0.25"/>
  <cols>
    <col min="1" max="1" width="34.28515625" customWidth="1"/>
    <col min="2" max="5" width="22.85546875" customWidth="1"/>
    <col min="7" max="7" width="30.42578125" customWidth="1"/>
    <col min="8" max="11" width="19" customWidth="1"/>
  </cols>
  <sheetData>
    <row r="1" spans="1:11" ht="24" x14ac:dyDescent="0.4">
      <c r="A1" s="74" t="s">
        <v>101</v>
      </c>
    </row>
    <row r="3" spans="1:11" ht="18.75" x14ac:dyDescent="0.3">
      <c r="A3" s="75" t="s">
        <v>102</v>
      </c>
      <c r="G3" s="112" t="s">
        <v>137</v>
      </c>
    </row>
    <row r="4" spans="1:11" ht="18.75" x14ac:dyDescent="0.3">
      <c r="A4" s="77" t="s">
        <v>103</v>
      </c>
      <c r="B4" s="78">
        <f>COUNTA(Synthèse!A7:A19)</f>
        <v>13</v>
      </c>
      <c r="D4" s="109" t="s">
        <v>104</v>
      </c>
      <c r="E4" s="79">
        <f>Synthèse!I21</f>
        <v>18324875</v>
      </c>
      <c r="G4" s="99" t="s">
        <v>8</v>
      </c>
      <c r="H4" s="99" t="s">
        <v>65</v>
      </c>
      <c r="I4" s="99" t="s">
        <v>6</v>
      </c>
      <c r="J4" s="99" t="s">
        <v>7</v>
      </c>
      <c r="K4" s="99" t="s">
        <v>138</v>
      </c>
    </row>
    <row r="5" spans="1:11" ht="18.75" x14ac:dyDescent="0.3">
      <c r="A5" s="77" t="s">
        <v>105</v>
      </c>
      <c r="B5" s="79">
        <f>AVERAGE(Synthèse!I7:I19)</f>
        <v>1409605.7692307692</v>
      </c>
      <c r="D5" s="109" t="s">
        <v>106</v>
      </c>
      <c r="E5" s="79">
        <f>Synthèse!K21</f>
        <v>13773072</v>
      </c>
      <c r="G5" s="100" t="str">
        <f>Synthèse!A7</f>
        <v>ELIE MOUSSA</v>
      </c>
      <c r="H5" s="101">
        <f>Synthèse!K7</f>
        <v>293528</v>
      </c>
      <c r="I5" s="101">
        <f>Synthèse!M7+Synthèse!N7+Synthèse!O7</f>
        <v>52191</v>
      </c>
      <c r="J5" s="101">
        <f>Synthèse!Q7+Synthèse!R7+Synthèse!S7+Synthèse!T7+Synthèse!U7+Synthèse!V7+Synthèse!W7+Synthèse!X7+Synthèse!Y7</f>
        <v>71259.5</v>
      </c>
      <c r="K5" s="102">
        <f t="shared" ref="K5:K18" si="0">H5+I5+J5</f>
        <v>416978.5</v>
      </c>
    </row>
    <row r="6" spans="1:11" ht="18.75" x14ac:dyDescent="0.3">
      <c r="A6" s="77" t="s">
        <v>107</v>
      </c>
      <c r="B6" s="79">
        <f>MEDIAN(Synthèse!I7:I19)</f>
        <v>541059</v>
      </c>
      <c r="D6" s="110" t="s">
        <v>108</v>
      </c>
      <c r="E6" s="79">
        <f>Synthèse!M21+Synthèse!N21+Synthèse!O21</f>
        <v>4941803</v>
      </c>
      <c r="G6" s="100" t="str">
        <f>Synthèse!A8</f>
        <v>TANGARA FANTA</v>
      </c>
      <c r="H6" s="101">
        <f>Synthèse!K8</f>
        <v>2509418</v>
      </c>
      <c r="I6" s="101">
        <f>Synthèse!M8+Synthèse!N8+Synthèse!O8</f>
        <v>1045642</v>
      </c>
      <c r="J6" s="101">
        <f>Synthèse!Q8+Synthèse!R8+Synthèse!S8+Synthèse!T8+Synthèse!U8+Synthèse!V8+Synthèse!W8+Synthèse!X8+Synthèse!Y8</f>
        <v>367639.5</v>
      </c>
      <c r="K6" s="102">
        <f t="shared" si="0"/>
        <v>3922699.5</v>
      </c>
    </row>
    <row r="7" spans="1:11" ht="18.75" x14ac:dyDescent="0.3">
      <c r="A7" s="77" t="s">
        <v>109</v>
      </c>
      <c r="B7" s="79">
        <f>MIN(Synthèse!I7:I19)</f>
        <v>189410</v>
      </c>
      <c r="D7" s="111" t="s">
        <v>110</v>
      </c>
      <c r="E7" s="79">
        <f>Synthèse!Q21+Synthèse!R21+Synthèse!S21+Synthèse!T21+Synthèse!U21+Synthèse!V21+Synthèse!W21+Synthèse!X21+Synthèse!Y21</f>
        <v>2410517.5</v>
      </c>
      <c r="G7" s="100" t="str">
        <f>Synthèse!A9</f>
        <v>OUATTARA ABDOULAYE</v>
      </c>
      <c r="H7" s="101">
        <f>Synthèse!K9</f>
        <v>257524</v>
      </c>
      <c r="I7" s="101">
        <f>Synthèse!M9+Synthèse!N9+Synthèse!O9</f>
        <v>18499</v>
      </c>
      <c r="J7" s="101">
        <f>Synthèse!Q9+Synthèse!R9+Synthèse!S9+Synthèse!T9+Synthèse!U9+Synthèse!V9+Synthèse!W9+Synthèse!X9+Synthèse!Y9</f>
        <v>36894.5</v>
      </c>
      <c r="K7" s="102">
        <f t="shared" si="0"/>
        <v>312917.5</v>
      </c>
    </row>
    <row r="8" spans="1:11" ht="18.75" x14ac:dyDescent="0.3">
      <c r="A8" s="77" t="s">
        <v>111</v>
      </c>
      <c r="B8" s="79">
        <f>MAX(Synthèse!I7:I19)</f>
        <v>5781400</v>
      </c>
      <c r="D8" s="111" t="s">
        <v>110</v>
      </c>
      <c r="E8" s="81">
        <f>Synthèse!Q21+Synthèse!R21+Synthèse!S21+Synthèse!T21+Synthèse!U21+Synthèse!V21+Synthèse!W21+Synthèse!X21+Synthèse!Y21</f>
        <v>2410517.5</v>
      </c>
      <c r="G8" s="100" t="str">
        <f>Synthèse!A10</f>
        <v>KARAMOKO MARCEL</v>
      </c>
      <c r="H8" s="101">
        <f>Synthèse!K10</f>
        <v>1338346</v>
      </c>
      <c r="I8" s="101">
        <f>Synthèse!M10+Synthèse!N10+Synthèse!O10</f>
        <v>500615</v>
      </c>
      <c r="J8" s="101">
        <f>Synthèse!Q10+Synthèse!R10+Synthèse!S10+Synthèse!T10+Synthèse!U10+Synthèse!V10+Synthèse!W10+Synthèse!X10+Synthèse!Y10</f>
        <v>198504.5</v>
      </c>
      <c r="K8" s="102">
        <f t="shared" si="0"/>
        <v>2037465.5</v>
      </c>
    </row>
    <row r="9" spans="1:11" ht="18.75" x14ac:dyDescent="0.3">
      <c r="A9" s="77" t="s">
        <v>112</v>
      </c>
      <c r="B9" s="79">
        <f>STDEV(Synthèse!I7:I19)</f>
        <v>1731980.5012660678</v>
      </c>
      <c r="D9" s="109" t="s">
        <v>113</v>
      </c>
      <c r="E9" s="82">
        <f>E5/E4</f>
        <v>0.75160523605208762</v>
      </c>
      <c r="G9" s="100" t="str">
        <f>Synthèse!A11</f>
        <v>DAN CESAR</v>
      </c>
      <c r="H9" s="101">
        <f>Synthèse!K11</f>
        <v>328206</v>
      </c>
      <c r="I9" s="101">
        <f>Synthèse!M11+Synthèse!N11+Synthèse!O11</f>
        <v>51458</v>
      </c>
      <c r="J9" s="101">
        <f>Synthèse!Q11+Synthèse!R11+Synthèse!S11+Synthèse!T11+Synthèse!U11+Synthèse!V11+Synthèse!W11+Synthèse!X11+Synthèse!Y11</f>
        <v>46777.5</v>
      </c>
      <c r="K9" s="102">
        <f t="shared" si="0"/>
        <v>426441.5</v>
      </c>
    </row>
    <row r="10" spans="1:11" x14ac:dyDescent="0.25">
      <c r="G10" s="100" t="str">
        <f>Synthèse!A12</f>
        <v>ASSI BONAVENTURE</v>
      </c>
      <c r="H10" s="101">
        <f>Synthèse!K12</f>
        <v>208846</v>
      </c>
      <c r="I10" s="101">
        <f>Synthèse!M12+Synthèse!N12+Synthèse!O12</f>
        <v>36529</v>
      </c>
      <c r="J10" s="101">
        <f>Synthèse!Q12+Synthèse!R12+Synthèse!S12+Synthèse!T12+Synthèse!U12+Synthèse!V12+Synthèse!W12+Synthèse!X12+Synthèse!Y12</f>
        <v>31178.5</v>
      </c>
      <c r="K10" s="102">
        <f t="shared" si="0"/>
        <v>276553.5</v>
      </c>
    </row>
    <row r="11" spans="1:11" ht="18.75" x14ac:dyDescent="0.3">
      <c r="A11" s="83" t="s">
        <v>114</v>
      </c>
      <c r="G11" s="100" t="str">
        <f>Synthèse!A13</f>
        <v>BESONGACHE PAUL</v>
      </c>
      <c r="H11" s="101">
        <f>Synthèse!K13</f>
        <v>4143983</v>
      </c>
      <c r="I11" s="101">
        <f>Synthèse!M13+Synthèse!N13+Synthèse!O13</f>
        <v>1667417</v>
      </c>
      <c r="J11" s="101">
        <f>Synthèse!Q13+Synthèse!R13+Synthèse!S13+Synthèse!T13+Synthèse!U13+Synthèse!V13+Synthèse!W13+Synthèse!X13+Synthèse!Y13</f>
        <v>963706.5</v>
      </c>
      <c r="K11" s="102">
        <f t="shared" si="0"/>
        <v>6775106.5</v>
      </c>
    </row>
    <row r="12" spans="1:11" x14ac:dyDescent="0.25">
      <c r="A12" s="84" t="s">
        <v>115</v>
      </c>
      <c r="B12" s="84" t="s">
        <v>116</v>
      </c>
      <c r="C12" s="84" t="s">
        <v>117</v>
      </c>
      <c r="G12" s="100" t="str">
        <f>Synthèse!A14</f>
        <v>KONAN JEAN YVES</v>
      </c>
      <c r="H12" s="101">
        <f>Synthèse!K14</f>
        <v>738570</v>
      </c>
      <c r="I12" s="101">
        <f>Synthèse!M14+Synthèse!N14+Synthèse!O14</f>
        <v>239880</v>
      </c>
      <c r="J12" s="101">
        <f>Synthèse!Q14+Synthèse!R14+Synthèse!S14+Synthèse!T14+Synthèse!U14+Synthèse!V14+Synthèse!W14+Synthèse!X14+Synthèse!Y14</f>
        <v>108149.5</v>
      </c>
      <c r="K12" s="102">
        <f t="shared" si="0"/>
        <v>1086599.5</v>
      </c>
    </row>
    <row r="13" spans="1:11" x14ac:dyDescent="0.25">
      <c r="A13" s="76" t="s">
        <v>118</v>
      </c>
      <c r="B13" s="85">
        <f>Synthèse!AA21</f>
        <v>2312392.5</v>
      </c>
      <c r="C13" s="87">
        <f>B13/$B$17</f>
        <v>0.31451192858091537</v>
      </c>
      <c r="G13" s="100" t="str">
        <f>Synthèse!A15</f>
        <v>SANOGO MORIBA</v>
      </c>
      <c r="H13" s="101">
        <f>Synthèse!K15</f>
        <v>205477</v>
      </c>
      <c r="I13" s="101">
        <f>Synthèse!M15+Synthèse!N15+Synthèse!O15</f>
        <v>13933</v>
      </c>
      <c r="J13" s="101">
        <f>Synthèse!Q15+Synthèse!R15+Synthèse!S15+Synthèse!T15+Synthèse!U15+Synthèse!V15+Synthèse!W15+Synthèse!X15+Synthèse!Y15</f>
        <v>29951.5</v>
      </c>
      <c r="K13" s="102">
        <f t="shared" si="0"/>
        <v>249361.5</v>
      </c>
    </row>
    <row r="14" spans="1:11" x14ac:dyDescent="0.25">
      <c r="A14" s="76" t="s">
        <v>119</v>
      </c>
      <c r="B14" s="85">
        <f>Synthèse!AB21</f>
        <v>35000</v>
      </c>
      <c r="C14" s="87">
        <f>B14/$B$17</f>
        <v>4.7604018350396998E-3</v>
      </c>
      <c r="G14" s="100" t="str">
        <f>Synthèse!A16</f>
        <v>COULIBALY TEMAN</v>
      </c>
      <c r="H14" s="101">
        <f>Synthèse!K16</f>
        <v>410205</v>
      </c>
      <c r="I14" s="101">
        <f>Synthèse!M16+Synthèse!N16+Synthèse!O16</f>
        <v>110448</v>
      </c>
      <c r="J14" s="101">
        <f>Synthèse!Q16+Synthèse!R16+Synthèse!S16+Synthèse!T16+Synthèse!U16+Synthèse!V16+Synthèse!W16+Synthèse!X16+Synthèse!Y16</f>
        <v>60081.5</v>
      </c>
      <c r="K14" s="102">
        <f t="shared" si="0"/>
        <v>580734.5</v>
      </c>
    </row>
    <row r="15" spans="1:11" x14ac:dyDescent="0.25">
      <c r="A15" s="76" t="s">
        <v>120</v>
      </c>
      <c r="B15" s="85">
        <f>Synthèse!AC21</f>
        <v>5004928</v>
      </c>
      <c r="C15" s="87">
        <f>B15/$B$17</f>
        <v>0.68072766958404496</v>
      </c>
      <c r="G15" s="100" t="str">
        <f>Synthèse!A17</f>
        <v>KOUACHY DJOMAN PACOME</v>
      </c>
      <c r="H15" s="101">
        <f>Synthèse!K17</f>
        <v>462350</v>
      </c>
      <c r="I15" s="101">
        <f>Synthèse!M17+Synthèse!N17+Synthèse!O17</f>
        <v>108709</v>
      </c>
      <c r="J15" s="101">
        <f>Synthèse!Q17+Synthèse!R17+Synthèse!S17+Synthèse!T17+Synthèse!U17+Synthèse!V17+Synthèse!W17+Synthèse!X17+Synthèse!Y17</f>
        <v>66374.5</v>
      </c>
      <c r="K15" s="102">
        <f t="shared" si="0"/>
        <v>637433.5</v>
      </c>
    </row>
    <row r="16" spans="1:11" x14ac:dyDescent="0.25">
      <c r="G16" s="100"/>
      <c r="H16" s="101"/>
      <c r="I16" s="101"/>
      <c r="J16" s="101"/>
      <c r="K16" s="102"/>
    </row>
    <row r="17" spans="1:11" x14ac:dyDescent="0.25">
      <c r="A17" s="88" t="s">
        <v>121</v>
      </c>
      <c r="B17" s="89">
        <f>SUM(B13:B15)</f>
        <v>7352320.5</v>
      </c>
      <c r="C17" s="90">
        <f>SUM(C13:C15)</f>
        <v>1</v>
      </c>
      <c r="G17" s="100" t="str">
        <f>Synthèse!A18</f>
        <v>BLONDE MARCEL</v>
      </c>
      <c r="H17" s="101">
        <f>Synthèse!K18</f>
        <v>559523</v>
      </c>
      <c r="I17" s="101">
        <f>Synthèse!M18+Synthèse!N18+Synthèse!O18</f>
        <v>152077</v>
      </c>
      <c r="J17" s="101">
        <f>Synthèse!Q18+Synthèse!R18+Synthèse!S18+Synthèse!T18+Synthèse!U18+Synthèse!V18+Synthèse!W18+Synthèse!X18+Synthèse!Y18</f>
        <v>80629.5</v>
      </c>
      <c r="K17" s="102">
        <f t="shared" si="0"/>
        <v>792229.5</v>
      </c>
    </row>
    <row r="18" spans="1:11" x14ac:dyDescent="0.25">
      <c r="G18" s="100" t="str">
        <f>Synthèse!A19</f>
        <v>GNADOU PAULE MARIANNE</v>
      </c>
      <c r="H18" s="101">
        <f>Synthèse!K19</f>
        <v>2317096</v>
      </c>
      <c r="I18" s="101">
        <f>Synthèse!M19+Synthèse!N19+Synthèse!O19</f>
        <v>944405</v>
      </c>
      <c r="J18" s="101">
        <f>Synthèse!Q19+Synthèse!R19+Synthèse!S19+Synthèse!T19+Synthèse!U19+Synthèse!V19+Synthèse!W19+Synthèse!X19+Synthèse!Y19</f>
        <v>349370.5</v>
      </c>
      <c r="K18" s="102">
        <f t="shared" si="0"/>
        <v>3610871.5</v>
      </c>
    </row>
    <row r="19" spans="1:11" ht="18.75" x14ac:dyDescent="0.3">
      <c r="A19" s="91" t="s">
        <v>122</v>
      </c>
      <c r="G19" s="103" t="s">
        <v>124</v>
      </c>
      <c r="H19" s="104">
        <f>SUM(H5:H18)</f>
        <v>13773072</v>
      </c>
      <c r="I19" s="104">
        <f>SUM(I5:I18)</f>
        <v>4941803</v>
      </c>
      <c r="J19" s="104">
        <f>SUM(J5:J18)</f>
        <v>2410517.5</v>
      </c>
      <c r="K19" s="104">
        <f>SUM(K5:K18)</f>
        <v>21125392.5</v>
      </c>
    </row>
    <row r="20" spans="1:11" x14ac:dyDescent="0.25">
      <c r="A20" s="92" t="s">
        <v>123</v>
      </c>
      <c r="B20" s="92" t="s">
        <v>116</v>
      </c>
      <c r="C20" s="92" t="s">
        <v>117</v>
      </c>
    </row>
    <row r="21" spans="1:11" x14ac:dyDescent="0.25">
      <c r="A21" s="76" t="s">
        <v>6</v>
      </c>
      <c r="B21" s="85">
        <f>Synthèse!M21+Synthèse!N21+Synthèse!O21</f>
        <v>4941803</v>
      </c>
      <c r="C21" s="87">
        <f>B21/(B21+B22)</f>
        <v>0.67214194484584833</v>
      </c>
      <c r="G21" s="105" t="s">
        <v>8</v>
      </c>
      <c r="H21" s="105" t="s">
        <v>5</v>
      </c>
    </row>
    <row r="22" spans="1:11" x14ac:dyDescent="0.25">
      <c r="A22" s="76" t="s">
        <v>7</v>
      </c>
      <c r="B22" s="85">
        <f>E8</f>
        <v>2410517.5</v>
      </c>
      <c r="C22" s="87">
        <f>B22/(B21+B22)</f>
        <v>0.32785805515415167</v>
      </c>
      <c r="G22" s="100" t="str">
        <f>Synthèse!A7</f>
        <v>ELIE MOUSSA</v>
      </c>
      <c r="H22" s="101">
        <f>Synthèse!I7</f>
        <v>315719</v>
      </c>
    </row>
    <row r="23" spans="1:11" x14ac:dyDescent="0.25">
      <c r="A23" s="80" t="s">
        <v>124</v>
      </c>
      <c r="B23" s="93">
        <f>B21+B22</f>
        <v>7352320.5</v>
      </c>
      <c r="C23" s="94">
        <f>C21+C22</f>
        <v>1</v>
      </c>
      <c r="G23" s="100" t="str">
        <f>Synthèse!A8</f>
        <v>TANGARA FANTA</v>
      </c>
      <c r="H23" s="101">
        <f>Synthèse!I8</f>
        <v>3525060</v>
      </c>
    </row>
    <row r="24" spans="1:11" x14ac:dyDescent="0.25">
      <c r="G24" s="100" t="str">
        <f>Synthèse!A9</f>
        <v>OUATTARA ABDOULAYE</v>
      </c>
      <c r="H24" s="101">
        <f>Synthèse!I9</f>
        <v>246023</v>
      </c>
    </row>
    <row r="25" spans="1:11" ht="18.75" x14ac:dyDescent="0.3">
      <c r="A25" s="95" t="s">
        <v>125</v>
      </c>
      <c r="G25" s="100" t="str">
        <f>Synthèse!A10</f>
        <v>KARAMOKO MARCEL</v>
      </c>
      <c r="H25" s="101">
        <f>Synthèse!I10</f>
        <v>1808961</v>
      </c>
    </row>
    <row r="26" spans="1:11" x14ac:dyDescent="0.25">
      <c r="A26" s="96" t="s">
        <v>126</v>
      </c>
      <c r="B26" s="96" t="s">
        <v>8</v>
      </c>
      <c r="C26" s="96" t="s">
        <v>5</v>
      </c>
      <c r="D26" s="96" t="s">
        <v>65</v>
      </c>
      <c r="E26" s="96" t="s">
        <v>127</v>
      </c>
      <c r="G26" s="100" t="str">
        <f>Synthèse!A11</f>
        <v>DAN CESAR</v>
      </c>
      <c r="H26" s="101">
        <f>Synthèse!I11</f>
        <v>349664</v>
      </c>
    </row>
    <row r="27" spans="1:11" x14ac:dyDescent="0.25">
      <c r="A27" s="86" t="s">
        <v>128</v>
      </c>
      <c r="B27" s="76" t="str">
        <f>INDEX(Synthèse!$A$7:$A$19,MATCH(LARGE(Synthèse!$I$7:$I$19,1),Synthèse!$I$7:$I$19,0))</f>
        <v>BESONGACHE PAUL</v>
      </c>
      <c r="C27" s="85">
        <f>LARGE(Synthèse!$I$7:$I$19,1)</f>
        <v>5781400</v>
      </c>
      <c r="D27" s="85">
        <f>INDEX(Synthèse!$K$7:$K$19,MATCH(C27,Synthèse!$I$7:$I$19,0))</f>
        <v>4143983</v>
      </c>
      <c r="E27" s="87">
        <f>C27/Synthèse!$I$21</f>
        <v>0.31549464866745341</v>
      </c>
      <c r="G27" s="100" t="str">
        <f>Synthèse!A12</f>
        <v>ASSI BONAVENTURE</v>
      </c>
      <c r="H27" s="101">
        <f>Synthèse!I12</f>
        <v>215375</v>
      </c>
    </row>
    <row r="28" spans="1:11" x14ac:dyDescent="0.25">
      <c r="A28" s="86" t="s">
        <v>129</v>
      </c>
      <c r="B28" s="76" t="str">
        <f>INDEX(Synthèse!$A$7:$A$19,MATCH(LARGE(Synthèse!$I$7:$I$19,2),Synthèse!$I$7:$I$19,0))</f>
        <v>TANGARA FANTA</v>
      </c>
      <c r="C28" s="85">
        <f>LARGE(Synthèse!$I$7:$I$19,2)</f>
        <v>3525060</v>
      </c>
      <c r="D28" s="85">
        <f>INDEX(Synthèse!$K$7:$K$19,MATCH(C28,Synthèse!$I$7:$I$19,0))</f>
        <v>2509418</v>
      </c>
      <c r="E28" s="87">
        <f>C28/Synthèse!$I$21</f>
        <v>0.1923647501006146</v>
      </c>
      <c r="G28" s="100" t="str">
        <f>Synthèse!A13</f>
        <v>BESONGACHE PAUL</v>
      </c>
      <c r="H28" s="101">
        <f>Synthèse!I13</f>
        <v>5781400</v>
      </c>
    </row>
    <row r="29" spans="1:11" x14ac:dyDescent="0.25">
      <c r="A29" s="86" t="s">
        <v>130</v>
      </c>
      <c r="B29" s="76" t="str">
        <f>INDEX(Synthèse!$A$7:$A$19,MATCH(LARGE(Synthèse!$I$7:$I$19,3),Synthèse!$I$7:$I$19,0))</f>
        <v>GNADOU PAULE MARIANNE</v>
      </c>
      <c r="C29" s="85">
        <f>LARGE(Synthèse!$I$7:$I$19,3)</f>
        <v>3231501</v>
      </c>
      <c r="D29" s="85">
        <f>INDEX(Synthèse!$K$7:$K$19,MATCH(C29,Synthèse!$I$7:$I$19,0))</f>
        <v>2317096</v>
      </c>
      <c r="E29" s="87">
        <f>C29/Synthèse!$I$21</f>
        <v>0.17634505010266099</v>
      </c>
      <c r="G29" s="100" t="str">
        <f>Synthèse!A14</f>
        <v>KONAN JEAN YVES</v>
      </c>
      <c r="H29" s="101">
        <f>Synthèse!I14</f>
        <v>948450</v>
      </c>
    </row>
    <row r="30" spans="1:11" x14ac:dyDescent="0.25">
      <c r="A30" s="86">
        <v>4</v>
      </c>
      <c r="B30" s="76" t="str">
        <f>INDEX(Synthèse!$A$7:$A$19,MATCH(LARGE(Synthèse!$I$7:$I$19,4),Synthèse!$I$7:$I$19,0))</f>
        <v>KARAMOKO MARCEL</v>
      </c>
      <c r="C30" s="85">
        <f>LARGE(Synthèse!$I$7:$I$19,4)</f>
        <v>1808961</v>
      </c>
      <c r="D30" s="85">
        <f>INDEX(Synthèse!$K$7:$K$19,MATCH(C30,Synthèse!$I$7:$I$19,0))</f>
        <v>1338346</v>
      </c>
      <c r="E30" s="87">
        <f>C30/Synthèse!$I$21</f>
        <v>9.8716144039181719E-2</v>
      </c>
      <c r="G30" s="100" t="str">
        <f>Synthèse!A15</f>
        <v>SANOGO MORIBA</v>
      </c>
      <c r="H30" s="101">
        <f>Synthèse!I15</f>
        <v>189410</v>
      </c>
    </row>
    <row r="31" spans="1:11" x14ac:dyDescent="0.25">
      <c r="A31" s="86">
        <v>5</v>
      </c>
      <c r="B31" s="76" t="str">
        <f>INDEX(Synthèse!$A$7:$A$19,MATCH(LARGE(Synthèse!$I$7:$I$19,5),Synthèse!$I$7:$I$19,0))</f>
        <v>KONAN JEAN YVES</v>
      </c>
      <c r="C31" s="85">
        <f>LARGE(Synthèse!$I$7:$I$19,5)</f>
        <v>948450</v>
      </c>
      <c r="D31" s="85">
        <f>INDEX(Synthèse!$K$7:$K$19,MATCH(C31,Synthèse!$I$7:$I$19,0))</f>
        <v>738570</v>
      </c>
      <c r="E31" s="87">
        <f>C31/Synthèse!$I$21</f>
        <v>5.1757515399150064E-2</v>
      </c>
      <c r="G31" s="100" t="str">
        <f>Synthèse!A16</f>
        <v>COULIBALY TEMAN</v>
      </c>
      <c r="H31" s="101">
        <f>Synthèse!I16</f>
        <v>490653</v>
      </c>
    </row>
    <row r="32" spans="1:11" x14ac:dyDescent="0.25">
      <c r="G32" s="100" t="str">
        <f>Synthèse!A17</f>
        <v>KOUACHY DJOMAN PACOME</v>
      </c>
      <c r="H32" s="101">
        <f>Synthèse!I17</f>
        <v>541059</v>
      </c>
    </row>
    <row r="33" spans="1:8" ht="18.75" x14ac:dyDescent="0.3">
      <c r="A33" s="97" t="s">
        <v>131</v>
      </c>
      <c r="G33" s="100"/>
      <c r="H33" s="101"/>
    </row>
    <row r="34" spans="1:8" x14ac:dyDescent="0.25">
      <c r="A34" s="98" t="s">
        <v>132</v>
      </c>
      <c r="B34" s="98" t="s">
        <v>133</v>
      </c>
      <c r="C34" s="98" t="s">
        <v>0</v>
      </c>
      <c r="G34" s="100" t="str">
        <f>Synthèse!A18</f>
        <v>BLONDE MARCEL</v>
      </c>
      <c r="H34" s="101">
        <f>Synthèse!I18</f>
        <v>681600</v>
      </c>
    </row>
    <row r="35" spans="1:8" x14ac:dyDescent="0.25">
      <c r="A35" s="76" t="s">
        <v>134</v>
      </c>
      <c r="B35" s="86">
        <f>COUNTIF(Synthèse!O7:O19,0)</f>
        <v>2</v>
      </c>
      <c r="C35" s="108" t="str">
        <f>IF(B35&gt;0,"🟡 "&amp;B35&amp;" employé(s)","🟢 Aucun")</f>
        <v>🟡 2 employé(s)</v>
      </c>
      <c r="G35" s="100" t="str">
        <f>Synthèse!A19</f>
        <v>GNADOU PAULE MARIANNE</v>
      </c>
      <c r="H35" s="101">
        <f>Synthèse!I19</f>
        <v>3231501</v>
      </c>
    </row>
    <row r="36" spans="1:8" x14ac:dyDescent="0.25">
      <c r="A36" s="76" t="s">
        <v>135</v>
      </c>
      <c r="B36" s="87">
        <f>B17/E4</f>
        <v>0.40122077231086162</v>
      </c>
      <c r="C36" s="108" t="str">
        <f>IF(B36&gt;0.5,"🔴 Très élevé",IF(B36&gt;0.4,"🟡 Élevé","🟢 Normal"))</f>
        <v>🟡 Élevé</v>
      </c>
    </row>
    <row r="37" spans="1:8" x14ac:dyDescent="0.25">
      <c r="A37" s="76" t="s">
        <v>136</v>
      </c>
      <c r="B37" s="87">
        <f>SUM(E27:E31)</f>
        <v>0.83467810830906075</v>
      </c>
      <c r="C37" s="108" t="str">
        <f>IF(B37&gt;0.8,"🔴 Très concentré",IF(B37&gt;0.6,"🟡 Concentré","🟢 Équilibré"))</f>
        <v>🔴 Très concentré</v>
      </c>
    </row>
    <row r="39" spans="1:8" ht="18.75" x14ac:dyDescent="0.3">
      <c r="A39" s="75" t="s">
        <v>139</v>
      </c>
    </row>
    <row r="40" spans="1:8" x14ac:dyDescent="0.25">
      <c r="A40" s="99" t="s">
        <v>140</v>
      </c>
      <c r="B40" s="99" t="s">
        <v>133</v>
      </c>
      <c r="C40" s="99" t="s">
        <v>141</v>
      </c>
    </row>
    <row r="41" spans="1:8" x14ac:dyDescent="0.25">
      <c r="A41" s="76" t="s">
        <v>142</v>
      </c>
      <c r="B41" s="87">
        <f>E8/E4</f>
        <v>0.13154346209728579</v>
      </c>
      <c r="C41" s="106" t="s">
        <v>143</v>
      </c>
    </row>
    <row r="42" spans="1:8" x14ac:dyDescent="0.25">
      <c r="A42" s="76" t="s">
        <v>144</v>
      </c>
      <c r="B42" s="87">
        <f>AVERAGE(Synthèse!K7:K19)/AVERAGE(Synthèse!I7:I19)</f>
        <v>0.75160523605208773</v>
      </c>
      <c r="C42" s="106" t="s">
        <v>145</v>
      </c>
    </row>
    <row r="43" spans="1:8" x14ac:dyDescent="0.25">
      <c r="A43" s="76" t="s">
        <v>146</v>
      </c>
      <c r="B43" s="107">
        <f>E9/B4</f>
        <v>5.7815787388622128E-2</v>
      </c>
      <c r="C43" s="106" t="s">
        <v>147</v>
      </c>
    </row>
    <row r="44" spans="1:8" x14ac:dyDescent="0.25">
      <c r="A44" s="76" t="s">
        <v>148</v>
      </c>
      <c r="B44" s="87">
        <f>Synthèse!J21/Synthèse!K21</f>
        <v>2.8316122939021884E-2</v>
      </c>
      <c r="C44" s="106" t="s">
        <v>149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7975-06E7-4687-8B7E-060FCA32879B}">
  <dimension ref="A1:AC21"/>
  <sheetViews>
    <sheetView showGridLines="0" tabSelected="1" zoomScale="90" zoomScaleNormal="90" workbookViewId="0">
      <pane xSplit="11" ySplit="5" topLeftCell="O6" activePane="bottomRight" state="frozen"/>
      <selection pane="topRight" activeCell="G1" sqref="G1"/>
      <selection pane="bottomLeft" activeCell="A6" sqref="A6"/>
      <selection pane="bottomRight" activeCell="V21" sqref="V21:W21"/>
    </sheetView>
  </sheetViews>
  <sheetFormatPr baseColWidth="10" defaultRowHeight="15" x14ac:dyDescent="0.25"/>
  <cols>
    <col min="1" max="1" width="27.85546875" bestFit="1" customWidth="1"/>
    <col min="2" max="2" width="8.5703125" bestFit="1" customWidth="1"/>
    <col min="3" max="3" width="12.28515625" bestFit="1" customWidth="1"/>
    <col min="4" max="7" width="10.7109375" customWidth="1"/>
    <col min="8" max="8" width="1.140625" customWidth="1"/>
    <col min="9" max="11" width="14.7109375" customWidth="1"/>
    <col min="12" max="12" width="1.140625" customWidth="1"/>
    <col min="13" max="15" width="14.7109375" customWidth="1"/>
    <col min="16" max="16" width="1.140625" customWidth="1"/>
    <col min="17" max="25" width="14.7109375" customWidth="1"/>
    <col min="26" max="26" width="1.140625" customWidth="1"/>
    <col min="27" max="29" width="14.7109375" customWidth="1"/>
  </cols>
  <sheetData>
    <row r="1" spans="1:29" x14ac:dyDescent="0.25">
      <c r="A1" s="50" t="str">
        <f>"Charges sociales et fiscales "&amp;PROPER(TEXT($I$1,"mmmm aaaa"))</f>
        <v>Charges sociales et fiscales Février 2026</v>
      </c>
      <c r="B1" s="50"/>
      <c r="C1" s="23"/>
      <c r="D1" s="23"/>
      <c r="E1" s="23"/>
      <c r="F1" s="23"/>
      <c r="G1" s="23"/>
      <c r="I1" s="51">
        <v>46081</v>
      </c>
      <c r="J1" s="50"/>
      <c r="K1" s="50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9.75" customHeight="1" x14ac:dyDescent="0.25">
      <c r="A2" s="23"/>
      <c r="B2" s="23"/>
      <c r="C2" s="23"/>
      <c r="D2" s="23"/>
      <c r="E2" s="23"/>
      <c r="F2" s="23"/>
      <c r="G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x14ac:dyDescent="0.25">
      <c r="A3" s="23"/>
      <c r="B3" s="23"/>
      <c r="C3" s="23"/>
      <c r="D3" s="23"/>
      <c r="E3" s="23"/>
      <c r="F3" s="23"/>
      <c r="G3" s="23"/>
      <c r="I3" s="23"/>
      <c r="J3" s="23"/>
      <c r="K3" s="23"/>
      <c r="L3" s="23"/>
      <c r="M3" s="117" t="s">
        <v>68</v>
      </c>
      <c r="N3" s="118"/>
      <c r="O3" s="119"/>
      <c r="P3" s="23"/>
      <c r="Q3" s="123" t="s">
        <v>69</v>
      </c>
      <c r="R3" s="123"/>
      <c r="S3" s="123"/>
      <c r="T3" s="123"/>
      <c r="U3" s="123"/>
      <c r="V3" s="123"/>
      <c r="W3" s="123"/>
      <c r="X3" s="123"/>
      <c r="Y3" s="123"/>
      <c r="Z3" s="23"/>
      <c r="AA3" s="52"/>
      <c r="AB3" s="52"/>
      <c r="AC3" s="23"/>
    </row>
    <row r="4" spans="1:29" x14ac:dyDescent="0.25">
      <c r="A4" s="23"/>
      <c r="B4" s="23"/>
      <c r="C4" s="23"/>
      <c r="D4" s="23"/>
      <c r="E4" s="23"/>
      <c r="F4" s="23"/>
      <c r="G4" s="23"/>
      <c r="I4" s="23"/>
      <c r="J4" s="23"/>
      <c r="K4" s="23"/>
      <c r="L4" s="23"/>
      <c r="M4" s="120"/>
      <c r="N4" s="121"/>
      <c r="O4" s="122"/>
      <c r="P4" s="23"/>
      <c r="Q4" s="123"/>
      <c r="R4" s="123"/>
      <c r="S4" s="123"/>
      <c r="T4" s="123"/>
      <c r="U4" s="123"/>
      <c r="V4" s="123"/>
      <c r="W4" s="123"/>
      <c r="X4" s="123"/>
      <c r="Y4" s="123"/>
      <c r="Z4" s="23"/>
      <c r="AA4" s="53"/>
      <c r="AB4" s="53"/>
      <c r="AC4" s="23"/>
    </row>
    <row r="5" spans="1:29" ht="27" x14ac:dyDescent="0.25">
      <c r="A5" s="113" t="s">
        <v>54</v>
      </c>
      <c r="B5" s="113" t="s">
        <v>71</v>
      </c>
      <c r="C5" s="113" t="s">
        <v>72</v>
      </c>
      <c r="D5" s="113" t="s">
        <v>60</v>
      </c>
      <c r="E5" s="113" t="s">
        <v>1</v>
      </c>
      <c r="F5" s="113" t="s">
        <v>30</v>
      </c>
      <c r="G5" s="113" t="s">
        <v>2</v>
      </c>
      <c r="H5" s="114"/>
      <c r="I5" s="113" t="s">
        <v>5</v>
      </c>
      <c r="J5" s="113" t="s">
        <v>64</v>
      </c>
      <c r="K5" s="113" t="s">
        <v>65</v>
      </c>
      <c r="L5" s="115"/>
      <c r="M5" s="54" t="s">
        <v>55</v>
      </c>
      <c r="N5" s="54" t="s">
        <v>52</v>
      </c>
      <c r="O5" s="54" t="s">
        <v>66</v>
      </c>
      <c r="P5" s="115"/>
      <c r="Q5" s="55" t="s">
        <v>55</v>
      </c>
      <c r="R5" s="55" t="s">
        <v>51</v>
      </c>
      <c r="S5" s="55" t="s">
        <v>21</v>
      </c>
      <c r="T5" s="55" t="s">
        <v>23</v>
      </c>
      <c r="U5" s="55" t="s">
        <v>53</v>
      </c>
      <c r="V5" s="56" t="s">
        <v>61</v>
      </c>
      <c r="W5" s="56" t="s">
        <v>62</v>
      </c>
      <c r="X5" s="56" t="s">
        <v>17</v>
      </c>
      <c r="Y5" s="56" t="s">
        <v>70</v>
      </c>
      <c r="Z5" s="115"/>
      <c r="AA5" s="57" t="s">
        <v>56</v>
      </c>
      <c r="AB5" s="57" t="s">
        <v>57</v>
      </c>
      <c r="AC5" s="58" t="s">
        <v>67</v>
      </c>
    </row>
    <row r="6" spans="1:29" ht="9.75" customHeight="1" x14ac:dyDescent="0.25"/>
    <row r="7" spans="1:29" ht="27.75" customHeight="1" x14ac:dyDescent="0.25">
      <c r="A7" s="59" t="str">
        <f>'ELIE MOUSSA'!$B$3</f>
        <v>ELIE MOUSSA</v>
      </c>
      <c r="B7" s="60">
        <v>11318</v>
      </c>
      <c r="C7" s="60" t="s">
        <v>73</v>
      </c>
      <c r="D7" s="60" t="str">
        <f>'ELIE MOUSSA'!$B$5</f>
        <v>Non</v>
      </c>
      <c r="E7" s="60" t="str">
        <f>'ELIE MOUSSA'!$B$6</f>
        <v>M</v>
      </c>
      <c r="F7" s="60">
        <f>'ELIE MOUSSA'!$B$7</f>
        <v>0</v>
      </c>
      <c r="G7" s="60">
        <f>'ELIE MOUSSA'!$B$8</f>
        <v>2</v>
      </c>
      <c r="I7" s="61">
        <f>'ELIE MOUSSA'!$C$14</f>
        <v>315719</v>
      </c>
      <c r="J7" s="61">
        <f>'ELIE MOUSSA'!$C$30</f>
        <v>30000</v>
      </c>
      <c r="K7" s="61">
        <f>'ELIE MOUSSA'!$C$31</f>
        <v>293528</v>
      </c>
      <c r="L7" s="23"/>
      <c r="M7" s="61">
        <f>'ELIE MOUSSA'!$C$23</f>
        <v>19890</v>
      </c>
      <c r="N7" s="61">
        <f>'ELIE MOUSSA'!$C$28</f>
        <v>1000</v>
      </c>
      <c r="O7" s="61">
        <f>'ELIE MOUSSA'!$C$17</f>
        <v>31301</v>
      </c>
      <c r="P7" s="23"/>
      <c r="Q7" s="61">
        <f>'ELIE MOUSSA'!$D$24</f>
        <v>24310</v>
      </c>
      <c r="R7" s="61">
        <f>'ELIE MOUSSA'!$D$26</f>
        <v>562.5</v>
      </c>
      <c r="S7" s="61">
        <f>'ELIE MOUSSA'!$D$25</f>
        <v>3750</v>
      </c>
      <c r="T7" s="61">
        <f>'ELIE MOUSSA'!$D$27</f>
        <v>3750</v>
      </c>
      <c r="U7" s="61">
        <f>'ELIE MOUSSA'!$D$29</f>
        <v>1000</v>
      </c>
      <c r="V7" s="61">
        <f>'ELIE MOUSSA'!$D$18</f>
        <v>29046</v>
      </c>
      <c r="W7" s="61">
        <f>'ELIE MOUSSA'!$D$19</f>
        <v>3789</v>
      </c>
      <c r="X7" s="61">
        <f>'ELIE MOUSSA'!$D$20</f>
        <v>1263</v>
      </c>
      <c r="Y7" s="61">
        <f>'ELIE MOUSSA'!$D$21</f>
        <v>3789</v>
      </c>
      <c r="Z7" s="23"/>
      <c r="AA7" s="62">
        <f>M7+Q7+R7+S7+T7</f>
        <v>52262.5</v>
      </c>
      <c r="AB7" s="62">
        <f>N7+U7</f>
        <v>2000</v>
      </c>
      <c r="AC7" s="62">
        <f>O7+V7+W7+X7+Y7</f>
        <v>69188</v>
      </c>
    </row>
    <row r="8" spans="1:29" ht="27.75" customHeight="1" x14ac:dyDescent="0.25">
      <c r="A8" s="63" t="str">
        <f>'TANGARA FANTA'!$B$3</f>
        <v>TANGARA FANTA</v>
      </c>
      <c r="B8" s="64">
        <v>11677</v>
      </c>
      <c r="C8" s="64" t="s">
        <v>74</v>
      </c>
      <c r="D8" s="64" t="str">
        <f>'TANGARA FANTA'!$B$5</f>
        <v>Oui</v>
      </c>
      <c r="E8" s="64" t="str">
        <f>'TANGARA FANTA'!$B$6</f>
        <v>M</v>
      </c>
      <c r="F8" s="64">
        <f>'TANGARA FANTA'!$B$7</f>
        <v>0</v>
      </c>
      <c r="G8" s="64">
        <f>'TANGARA FANTA'!$B$8</f>
        <v>2</v>
      </c>
      <c r="I8" s="65">
        <f>'TANGARA FANTA'!$C$14</f>
        <v>3525060</v>
      </c>
      <c r="J8" s="65">
        <f>'TANGARA FANTA'!$C$30</f>
        <v>30000</v>
      </c>
      <c r="K8" s="65">
        <f>'TANGARA FANTA'!$C$31</f>
        <v>2509418</v>
      </c>
      <c r="L8" s="66"/>
      <c r="M8" s="65">
        <f>'TANGARA FANTA'!$C$23</f>
        <v>212625</v>
      </c>
      <c r="N8" s="65">
        <f>'TANGARA FANTA'!$C$28</f>
        <v>1000</v>
      </c>
      <c r="O8" s="65">
        <f>'TANGARA FANTA'!$C$17</f>
        <v>832017</v>
      </c>
      <c r="P8" s="66"/>
      <c r="Q8" s="65">
        <f>'TANGARA FANTA'!$D$24</f>
        <v>259875</v>
      </c>
      <c r="R8" s="65">
        <f>'TANGARA FANTA'!$D$26</f>
        <v>562.5</v>
      </c>
      <c r="S8" s="65">
        <f>'TANGARA FANTA'!$D$25</f>
        <v>3750</v>
      </c>
      <c r="T8" s="65">
        <f>'TANGARA FANTA'!$D$27</f>
        <v>3750</v>
      </c>
      <c r="U8" s="65">
        <f>'TANGARA FANTA'!$D$29</f>
        <v>1000</v>
      </c>
      <c r="V8" s="65">
        <f>'TANGARA FANTA'!$D$18</f>
        <v>0</v>
      </c>
      <c r="W8" s="65">
        <f>'TANGARA FANTA'!$D$19</f>
        <v>42301</v>
      </c>
      <c r="X8" s="65">
        <f>'TANGARA FANTA'!$D$20</f>
        <v>14100</v>
      </c>
      <c r="Y8" s="65">
        <f>'TANGARA FANTA'!$D$21</f>
        <v>42301</v>
      </c>
      <c r="Z8" s="66"/>
      <c r="AA8" s="67">
        <f t="shared" ref="AA8:AA19" si="0">M8+Q8+R8+S8+T8</f>
        <v>480562.5</v>
      </c>
      <c r="AB8" s="67">
        <f t="shared" ref="AB8:AB19" si="1">N8+U8</f>
        <v>2000</v>
      </c>
      <c r="AC8" s="67">
        <f t="shared" ref="AC8:AC19" si="2">O8+V8+W8+X8+Y8</f>
        <v>930719</v>
      </c>
    </row>
    <row r="9" spans="1:29" ht="27.75" customHeight="1" x14ac:dyDescent="0.25">
      <c r="A9" s="59" t="str">
        <f>'OUATTARA ABDOULAYE'!$B$3</f>
        <v>OUATTARA ABDOULAYE</v>
      </c>
      <c r="B9" s="60">
        <v>11956</v>
      </c>
      <c r="C9" s="60" t="s">
        <v>75</v>
      </c>
      <c r="D9" s="60" t="str">
        <f>'OUATTARA ABDOULAYE'!$B$5</f>
        <v>Oui</v>
      </c>
      <c r="E9" s="60" t="str">
        <f>'OUATTARA ABDOULAYE'!$B$6</f>
        <v>M</v>
      </c>
      <c r="F9" s="60">
        <f>'OUATTARA ABDOULAYE'!$B$7</f>
        <v>4</v>
      </c>
      <c r="G9" s="60">
        <f>'OUATTARA ABDOULAYE'!$B$8</f>
        <v>4</v>
      </c>
      <c r="I9" s="61">
        <f>'OUATTARA ABDOULAYE'!$C$14</f>
        <v>246023</v>
      </c>
      <c r="J9" s="61">
        <f>'OUATTARA ABDOULAYE'!$C$30</f>
        <v>30000</v>
      </c>
      <c r="K9" s="61">
        <f>'OUATTARA ABDOULAYE'!$C$31</f>
        <v>257524</v>
      </c>
      <c r="L9" s="23"/>
      <c r="M9" s="61">
        <f>'OUATTARA ABDOULAYE'!$C$23</f>
        <v>15499</v>
      </c>
      <c r="N9" s="61">
        <f>'OUATTARA ABDOULAYE'!$C$28</f>
        <v>3000</v>
      </c>
      <c r="O9" s="61">
        <f>'OUATTARA ABDOULAYE'!$C$17</f>
        <v>0</v>
      </c>
      <c r="P9" s="23"/>
      <c r="Q9" s="61">
        <f>'OUATTARA ABDOULAYE'!$D$24</f>
        <v>18944</v>
      </c>
      <c r="R9" s="61">
        <f>'OUATTARA ABDOULAYE'!$D$26</f>
        <v>562.5</v>
      </c>
      <c r="S9" s="61">
        <f>'OUATTARA ABDOULAYE'!$D$25</f>
        <v>3750</v>
      </c>
      <c r="T9" s="61">
        <f>'OUATTARA ABDOULAYE'!$D$27</f>
        <v>3750</v>
      </c>
      <c r="U9" s="61">
        <f>'OUATTARA ABDOULAYE'!$D$29</f>
        <v>3000</v>
      </c>
      <c r="V9" s="61">
        <f>'OUATTARA ABDOULAYE'!$D$18</f>
        <v>0</v>
      </c>
      <c r="W9" s="61">
        <f>'OUATTARA ABDOULAYE'!$D$19</f>
        <v>2952</v>
      </c>
      <c r="X9" s="61">
        <f>'OUATTARA ABDOULAYE'!$D$20</f>
        <v>984</v>
      </c>
      <c r="Y9" s="61">
        <f>'OUATTARA ABDOULAYE'!$D$21</f>
        <v>2952</v>
      </c>
      <c r="Z9" s="23"/>
      <c r="AA9" s="62">
        <f t="shared" si="0"/>
        <v>42505.5</v>
      </c>
      <c r="AB9" s="62">
        <f t="shared" si="1"/>
        <v>6000</v>
      </c>
      <c r="AC9" s="62">
        <f t="shared" si="2"/>
        <v>6888</v>
      </c>
    </row>
    <row r="10" spans="1:29" ht="27.75" customHeight="1" x14ac:dyDescent="0.25">
      <c r="A10" s="63" t="str">
        <f>'KARAMOKO MARCEL'!$B$3</f>
        <v>KARAMOKO MARCEL</v>
      </c>
      <c r="B10" s="64">
        <v>12577</v>
      </c>
      <c r="C10" s="64" t="s">
        <v>77</v>
      </c>
      <c r="D10" s="64" t="str">
        <f>'KARAMOKO MARCEL'!$B$5</f>
        <v>Oui</v>
      </c>
      <c r="E10" s="64" t="str">
        <f>'KARAMOKO MARCEL'!$B$6</f>
        <v>C</v>
      </c>
      <c r="F10" s="64">
        <f>'KARAMOKO MARCEL'!$B$7</f>
        <v>0</v>
      </c>
      <c r="G10" s="64">
        <f>'KARAMOKO MARCEL'!$B$8</f>
        <v>1</v>
      </c>
      <c r="I10" s="65">
        <f>'KARAMOKO MARCEL'!$C$14</f>
        <v>1808961</v>
      </c>
      <c r="J10" s="65">
        <f>'KARAMOKO MARCEL'!$C$30</f>
        <v>30000</v>
      </c>
      <c r="K10" s="65">
        <f>'KARAMOKO MARCEL'!$C$31</f>
        <v>1338346</v>
      </c>
      <c r="L10" s="66"/>
      <c r="M10" s="65">
        <f>'KARAMOKO MARCEL'!$C$23</f>
        <v>113965</v>
      </c>
      <c r="N10" s="65">
        <f>'KARAMOKO MARCEL'!$C$28</f>
        <v>500</v>
      </c>
      <c r="O10" s="65">
        <f>'KARAMOKO MARCEL'!$C$17</f>
        <v>386150</v>
      </c>
      <c r="P10" s="66"/>
      <c r="Q10" s="65">
        <f>'KARAMOKO MARCEL'!$D$24</f>
        <v>139290</v>
      </c>
      <c r="R10" s="65">
        <f>'KARAMOKO MARCEL'!$D$26</f>
        <v>562.5</v>
      </c>
      <c r="S10" s="65">
        <f>'KARAMOKO MARCEL'!$D$25</f>
        <v>3750</v>
      </c>
      <c r="T10" s="65">
        <f>'KARAMOKO MARCEL'!$D$27</f>
        <v>3750</v>
      </c>
      <c r="U10" s="65">
        <f>'KARAMOKO MARCEL'!$D$29</f>
        <v>500</v>
      </c>
      <c r="V10" s="65">
        <f>'KARAMOKO MARCEL'!$D$18</f>
        <v>0</v>
      </c>
      <c r="W10" s="65">
        <f>'KARAMOKO MARCEL'!$D$19</f>
        <v>21708</v>
      </c>
      <c r="X10" s="65">
        <f>'KARAMOKO MARCEL'!$D$20</f>
        <v>7236</v>
      </c>
      <c r="Y10" s="65">
        <f>'KARAMOKO MARCEL'!$D$21</f>
        <v>21708</v>
      </c>
      <c r="Z10" s="66"/>
      <c r="AA10" s="67">
        <f t="shared" si="0"/>
        <v>261317.5</v>
      </c>
      <c r="AB10" s="67">
        <f t="shared" si="1"/>
        <v>1000</v>
      </c>
      <c r="AC10" s="67">
        <f t="shared" si="2"/>
        <v>436802</v>
      </c>
    </row>
    <row r="11" spans="1:29" ht="27.75" customHeight="1" x14ac:dyDescent="0.25">
      <c r="A11" s="59" t="str">
        <f>'DAN CESAR'!$B$3</f>
        <v>DAN CESAR</v>
      </c>
      <c r="B11" s="60">
        <v>12760</v>
      </c>
      <c r="C11" s="60" t="s">
        <v>76</v>
      </c>
      <c r="D11" s="60" t="str">
        <f>'DAN CESAR'!$B$5</f>
        <v>Oui</v>
      </c>
      <c r="E11" s="60" t="str">
        <f>'DAN CESAR'!$B$6</f>
        <v>M</v>
      </c>
      <c r="F11" s="60">
        <f>'DAN CESAR'!$B$7</f>
        <v>2</v>
      </c>
      <c r="G11" s="60">
        <f>'DAN CESAR'!$B$8</f>
        <v>3</v>
      </c>
      <c r="I11" s="61">
        <f>'DAN CESAR'!$C$14</f>
        <v>349664</v>
      </c>
      <c r="J11" s="61">
        <f>'DAN CESAR'!$C$30</f>
        <v>30000</v>
      </c>
      <c r="K11" s="61">
        <f>'DAN CESAR'!$C$31</f>
        <v>328206</v>
      </c>
      <c r="L11" s="23"/>
      <c r="M11" s="61">
        <f>'DAN CESAR'!$C$23</f>
        <v>22029</v>
      </c>
      <c r="N11" s="61">
        <f>'DAN CESAR'!$C$28</f>
        <v>2000</v>
      </c>
      <c r="O11" s="61">
        <f>'DAN CESAR'!$C$17</f>
        <v>27429</v>
      </c>
      <c r="P11" s="23"/>
      <c r="Q11" s="61">
        <f>'DAN CESAR'!$D$24</f>
        <v>26924</v>
      </c>
      <c r="R11" s="61">
        <f>'DAN CESAR'!$D$26</f>
        <v>562.5</v>
      </c>
      <c r="S11" s="61">
        <f>'DAN CESAR'!$D$25</f>
        <v>3750</v>
      </c>
      <c r="T11" s="61">
        <f>'DAN CESAR'!$D$27</f>
        <v>3750</v>
      </c>
      <c r="U11" s="61">
        <f>'DAN CESAR'!$D$29</f>
        <v>2000</v>
      </c>
      <c r="V11" s="61">
        <f>'DAN CESAR'!$D$18</f>
        <v>0</v>
      </c>
      <c r="W11" s="61">
        <f>'DAN CESAR'!$D$19</f>
        <v>4196</v>
      </c>
      <c r="X11" s="61">
        <f>'DAN CESAR'!$D$20</f>
        <v>1399</v>
      </c>
      <c r="Y11" s="61">
        <f>'DAN CESAR'!$D$21</f>
        <v>4196</v>
      </c>
      <c r="Z11" s="23"/>
      <c r="AA11" s="62">
        <f t="shared" si="0"/>
        <v>57015.5</v>
      </c>
      <c r="AB11" s="62">
        <f t="shared" si="1"/>
        <v>4000</v>
      </c>
      <c r="AC11" s="62">
        <f t="shared" si="2"/>
        <v>37220</v>
      </c>
    </row>
    <row r="12" spans="1:29" ht="27.75" customHeight="1" x14ac:dyDescent="0.25">
      <c r="A12" s="63" t="str">
        <f>'ASSI BONAVENTURE'!$B$3</f>
        <v>ASSI BONAVENTURE</v>
      </c>
      <c r="B12" s="64">
        <v>12820</v>
      </c>
      <c r="C12" s="64" t="s">
        <v>78</v>
      </c>
      <c r="D12" s="64" t="str">
        <f>'ASSI BONAVENTURE'!$B$5</f>
        <v>Oui</v>
      </c>
      <c r="E12" s="64" t="str">
        <f>'ASSI BONAVENTURE'!$B$6</f>
        <v>C</v>
      </c>
      <c r="F12" s="64">
        <f>'ASSI BONAVENTURE'!$B$7</f>
        <v>0</v>
      </c>
      <c r="G12" s="64">
        <f>'ASSI BONAVENTURE'!$B$8</f>
        <v>1</v>
      </c>
      <c r="I12" s="65">
        <f>'ASSI BONAVENTURE'!$C$14</f>
        <v>215375</v>
      </c>
      <c r="J12" s="65">
        <f>'ASSI BONAVENTURE'!$C$30</f>
        <v>30000</v>
      </c>
      <c r="K12" s="65">
        <f>'ASSI BONAVENTURE'!$C$31</f>
        <v>208846</v>
      </c>
      <c r="L12" s="66"/>
      <c r="M12" s="65">
        <f>'ASSI BONAVENTURE'!$C$23</f>
        <v>13569</v>
      </c>
      <c r="N12" s="65">
        <f>'ASSI BONAVENTURE'!$C$28</f>
        <v>500</v>
      </c>
      <c r="O12" s="65">
        <f>'ASSI BONAVENTURE'!$C$17</f>
        <v>22460</v>
      </c>
      <c r="P12" s="66"/>
      <c r="Q12" s="65">
        <f>'ASSI BONAVENTURE'!$D$24</f>
        <v>16584</v>
      </c>
      <c r="R12" s="65">
        <f>'ASSI BONAVENTURE'!$D$26</f>
        <v>562.5</v>
      </c>
      <c r="S12" s="65">
        <f>'ASSI BONAVENTURE'!$D$25</f>
        <v>3750</v>
      </c>
      <c r="T12" s="65">
        <f>'ASSI BONAVENTURE'!$D$27</f>
        <v>3750</v>
      </c>
      <c r="U12" s="65">
        <f>'ASSI BONAVENTURE'!$D$29</f>
        <v>500</v>
      </c>
      <c r="V12" s="65">
        <f>'ASSI BONAVENTURE'!$D$18</f>
        <v>0</v>
      </c>
      <c r="W12" s="65">
        <f>'ASSI BONAVENTURE'!$D$19</f>
        <v>2585</v>
      </c>
      <c r="X12" s="65">
        <f>'ASSI BONAVENTURE'!$D$20</f>
        <v>862</v>
      </c>
      <c r="Y12" s="65">
        <f>'ASSI BONAVENTURE'!$D$21</f>
        <v>2585</v>
      </c>
      <c r="Z12" s="66"/>
      <c r="AA12" s="67">
        <f t="shared" si="0"/>
        <v>38215.5</v>
      </c>
      <c r="AB12" s="67">
        <f t="shared" si="1"/>
        <v>1000</v>
      </c>
      <c r="AC12" s="67">
        <f t="shared" si="2"/>
        <v>28492</v>
      </c>
    </row>
    <row r="13" spans="1:29" ht="27.75" customHeight="1" x14ac:dyDescent="0.25">
      <c r="A13" s="59" t="str">
        <f>'BESONGLACHE PAUL'!$B$3</f>
        <v>BESONGACHE PAUL</v>
      </c>
      <c r="B13" s="60">
        <v>12834</v>
      </c>
      <c r="C13" s="60" t="s">
        <v>79</v>
      </c>
      <c r="D13" s="60" t="str">
        <f>'BESONGLACHE PAUL'!$B$5</f>
        <v>Non</v>
      </c>
      <c r="E13" s="60" t="str">
        <f>'BESONGLACHE PAUL'!$B$6</f>
        <v>M</v>
      </c>
      <c r="F13" s="60">
        <f>'BESONGLACHE PAUL'!$B$7</f>
        <v>2</v>
      </c>
      <c r="G13" s="60">
        <f>'BESONGLACHE PAUL'!$B$8</f>
        <v>3</v>
      </c>
      <c r="I13" s="61">
        <f>'BESONGLACHE PAUL'!$C$14</f>
        <v>5781400</v>
      </c>
      <c r="J13" s="61">
        <f>'BESONGLACHE PAUL'!$C$30</f>
        <v>30000</v>
      </c>
      <c r="K13" s="61">
        <f>'BESONGLACHE PAUL'!$C$31</f>
        <v>4143983</v>
      </c>
      <c r="L13" s="23"/>
      <c r="M13" s="61">
        <f>'BESONGLACHE PAUL'!$C$23</f>
        <v>212625</v>
      </c>
      <c r="N13" s="61">
        <f>'BESONGLACHE PAUL'!$C$28</f>
        <v>2000</v>
      </c>
      <c r="O13" s="61">
        <f>'BESONGLACHE PAUL'!$C$17</f>
        <v>1452792</v>
      </c>
      <c r="P13" s="23"/>
      <c r="Q13" s="61">
        <f>'BESONGLACHE PAUL'!$D$24</f>
        <v>259875</v>
      </c>
      <c r="R13" s="61">
        <f>'BESONGLACHE PAUL'!$D$26</f>
        <v>562.5</v>
      </c>
      <c r="S13" s="61">
        <f>'BESONGLACHE PAUL'!$D$25</f>
        <v>3750</v>
      </c>
      <c r="T13" s="61">
        <f>'BESONGLACHE PAUL'!$D$27</f>
        <v>3750</v>
      </c>
      <c r="U13" s="61">
        <f>'BESONGLACHE PAUL'!$D$29</f>
        <v>2000</v>
      </c>
      <c r="V13" s="61">
        <f>'BESONGLACHE PAUL'!$D$18</f>
        <v>531889</v>
      </c>
      <c r="W13" s="61">
        <f>'BESONGLACHE PAUL'!$D$19</f>
        <v>69377</v>
      </c>
      <c r="X13" s="61">
        <f>'BESONGLACHE PAUL'!$D$20</f>
        <v>23126</v>
      </c>
      <c r="Y13" s="61">
        <f>'BESONGLACHE PAUL'!$D$21</f>
        <v>69377</v>
      </c>
      <c r="Z13" s="23"/>
      <c r="AA13" s="62">
        <f t="shared" si="0"/>
        <v>480562.5</v>
      </c>
      <c r="AB13" s="62">
        <f t="shared" si="1"/>
        <v>4000</v>
      </c>
      <c r="AC13" s="62">
        <f t="shared" si="2"/>
        <v>2146561</v>
      </c>
    </row>
    <row r="14" spans="1:29" ht="27.75" customHeight="1" x14ac:dyDescent="0.25">
      <c r="A14" s="63" t="str">
        <f>'KONAN JEAN YVES'!$B$3</f>
        <v>KONAN JEAN YVES</v>
      </c>
      <c r="B14" s="64">
        <v>12842</v>
      </c>
      <c r="C14" s="64" t="s">
        <v>80</v>
      </c>
      <c r="D14" s="64" t="str">
        <f>'KONAN JEAN YVES'!$B$5</f>
        <v>Oui</v>
      </c>
      <c r="E14" s="64" t="str">
        <f>'KONAN JEAN YVES'!$B$6</f>
        <v>C</v>
      </c>
      <c r="F14" s="64">
        <f>'KONAN JEAN YVES'!$B$7</f>
        <v>0</v>
      </c>
      <c r="G14" s="64">
        <f>'KONAN JEAN YVES'!$B$8</f>
        <v>1</v>
      </c>
      <c r="I14" s="65">
        <f>'KONAN JEAN YVES'!$C$14</f>
        <v>948450</v>
      </c>
      <c r="J14" s="65">
        <f>'KONAN JEAN YVES'!$C$30</f>
        <v>30000</v>
      </c>
      <c r="K14" s="65">
        <f>'KONAN JEAN YVES'!$C$31</f>
        <v>738570</v>
      </c>
      <c r="L14" s="66"/>
      <c r="M14" s="65">
        <f>'KONAN JEAN YVES'!$C$23</f>
        <v>59752</v>
      </c>
      <c r="N14" s="65">
        <f>'KONAN JEAN YVES'!$C$28</f>
        <v>500</v>
      </c>
      <c r="O14" s="65">
        <f>'KONAN JEAN YVES'!$C$17</f>
        <v>179628</v>
      </c>
      <c r="P14" s="66"/>
      <c r="Q14" s="65">
        <f>'KONAN JEAN YVES'!$D$24</f>
        <v>73031</v>
      </c>
      <c r="R14" s="65">
        <f>'KONAN JEAN YVES'!$D$26</f>
        <v>562.5</v>
      </c>
      <c r="S14" s="65">
        <f>'KONAN JEAN YVES'!$D$25</f>
        <v>3750</v>
      </c>
      <c r="T14" s="65">
        <f>'KONAN JEAN YVES'!$D$27</f>
        <v>3750</v>
      </c>
      <c r="U14" s="65">
        <f>'KONAN JEAN YVES'!$D$29</f>
        <v>500</v>
      </c>
      <c r="V14" s="65">
        <f>'KONAN JEAN YVES'!$D$18</f>
        <v>0</v>
      </c>
      <c r="W14" s="65">
        <f>'KONAN JEAN YVES'!$D$19</f>
        <v>11381</v>
      </c>
      <c r="X14" s="65">
        <f>'KONAN JEAN YVES'!$D$20</f>
        <v>3794</v>
      </c>
      <c r="Y14" s="65">
        <f>'KONAN JEAN YVES'!$D$21</f>
        <v>11381</v>
      </c>
      <c r="Z14" s="66"/>
      <c r="AA14" s="67">
        <f t="shared" si="0"/>
        <v>140845.5</v>
      </c>
      <c r="AB14" s="67">
        <f t="shared" si="1"/>
        <v>1000</v>
      </c>
      <c r="AC14" s="67">
        <f t="shared" si="2"/>
        <v>206184</v>
      </c>
    </row>
    <row r="15" spans="1:29" ht="27.75" customHeight="1" x14ac:dyDescent="0.25">
      <c r="A15" s="59" t="str">
        <f>'SANOGO MORIBA'!$B$3</f>
        <v>SANOGO MORIBA</v>
      </c>
      <c r="B15" s="60">
        <v>12850</v>
      </c>
      <c r="C15" s="60" t="s">
        <v>81</v>
      </c>
      <c r="D15" s="60" t="str">
        <f>'SANOGO MORIBA'!$B$5</f>
        <v>Oui</v>
      </c>
      <c r="E15" s="60" t="str">
        <f>'SANOGO MORIBA'!$B$6</f>
        <v>C</v>
      </c>
      <c r="F15" s="60">
        <f>'SANOGO MORIBA'!$B$7</f>
        <v>3</v>
      </c>
      <c r="G15" s="60">
        <f>'SANOGO MORIBA'!$B$8</f>
        <v>3</v>
      </c>
      <c r="I15" s="61">
        <f>'SANOGO MORIBA'!$C$14</f>
        <v>189410</v>
      </c>
      <c r="J15" s="61">
        <f>'SANOGO MORIBA'!$C$30</f>
        <v>30000</v>
      </c>
      <c r="K15" s="61">
        <f>'SANOGO MORIBA'!$C$31</f>
        <v>205477</v>
      </c>
      <c r="L15" s="23"/>
      <c r="M15" s="61">
        <f>'SANOGO MORIBA'!$C$23</f>
        <v>11933</v>
      </c>
      <c r="N15" s="61">
        <f>'SANOGO MORIBA'!$C$28</f>
        <v>2000</v>
      </c>
      <c r="O15" s="61">
        <f>'SANOGO MORIBA'!$C$17</f>
        <v>0</v>
      </c>
      <c r="P15" s="23"/>
      <c r="Q15" s="61">
        <f>'SANOGO MORIBA'!$D$24</f>
        <v>14585</v>
      </c>
      <c r="R15" s="61">
        <f>'SANOGO MORIBA'!$D$26</f>
        <v>562.5</v>
      </c>
      <c r="S15" s="61">
        <f>'SANOGO MORIBA'!$D$25</f>
        <v>3750</v>
      </c>
      <c r="T15" s="61">
        <f>'SANOGO MORIBA'!$D$27</f>
        <v>3750</v>
      </c>
      <c r="U15" s="61">
        <f>'SANOGO MORIBA'!$D$29</f>
        <v>2000</v>
      </c>
      <c r="V15" s="61">
        <f>'SANOGO MORIBA'!$D$18</f>
        <v>0</v>
      </c>
      <c r="W15" s="61">
        <f>'SANOGO MORIBA'!$D$19</f>
        <v>2273</v>
      </c>
      <c r="X15" s="61">
        <f>'SANOGO MORIBA'!$D$20</f>
        <v>758</v>
      </c>
      <c r="Y15" s="61">
        <f>'SANOGO MORIBA'!$D$21</f>
        <v>2273</v>
      </c>
      <c r="Z15" s="23"/>
      <c r="AA15" s="62">
        <f t="shared" si="0"/>
        <v>34580.5</v>
      </c>
      <c r="AB15" s="62">
        <f t="shared" si="1"/>
        <v>4000</v>
      </c>
      <c r="AC15" s="62">
        <f t="shared" si="2"/>
        <v>5304</v>
      </c>
    </row>
    <row r="16" spans="1:29" ht="27.75" customHeight="1" x14ac:dyDescent="0.25">
      <c r="A16" s="63" t="str">
        <f>'COULIBALY TEMAN'!$B$3</f>
        <v>COULIBALY TEMAN</v>
      </c>
      <c r="B16" s="64">
        <v>12852</v>
      </c>
      <c r="C16" s="64" t="s">
        <v>82</v>
      </c>
      <c r="D16" s="64" t="str">
        <f>'COULIBALY TEMAN'!$B$5</f>
        <v>Oui</v>
      </c>
      <c r="E16" s="64" t="str">
        <f>'COULIBALY TEMAN'!$B$6</f>
        <v>C</v>
      </c>
      <c r="F16" s="64">
        <f>'COULIBALY TEMAN'!$B$7</f>
        <v>0</v>
      </c>
      <c r="G16" s="64">
        <f>'COULIBALY TEMAN'!$B$8</f>
        <v>1</v>
      </c>
      <c r="I16" s="65">
        <f>'COULIBALY TEMAN'!$C$14</f>
        <v>490653</v>
      </c>
      <c r="J16" s="65">
        <f>'COULIBALY TEMAN'!$C$30</f>
        <v>30000</v>
      </c>
      <c r="K16" s="65">
        <f>'COULIBALY TEMAN'!$C$31</f>
        <v>410205</v>
      </c>
      <c r="L16" s="66"/>
      <c r="M16" s="65">
        <f>'COULIBALY TEMAN'!$C$23</f>
        <v>30911</v>
      </c>
      <c r="N16" s="65">
        <f>'COULIBALY TEMAN'!$C$28</f>
        <v>500</v>
      </c>
      <c r="O16" s="65">
        <f>'COULIBALY TEMAN'!$C$17</f>
        <v>79037</v>
      </c>
      <c r="P16" s="66"/>
      <c r="Q16" s="65">
        <f>'COULIBALY TEMAN'!$D$24</f>
        <v>37780</v>
      </c>
      <c r="R16" s="65">
        <f>'COULIBALY TEMAN'!$D$26</f>
        <v>562.5</v>
      </c>
      <c r="S16" s="65">
        <f>'COULIBALY TEMAN'!$D$25</f>
        <v>3750</v>
      </c>
      <c r="T16" s="65">
        <f>'COULIBALY TEMAN'!$D$27</f>
        <v>3750</v>
      </c>
      <c r="U16" s="65">
        <f>'COULIBALY TEMAN'!$D$29</f>
        <v>500</v>
      </c>
      <c r="V16" s="65">
        <f>'COULIBALY TEMAN'!$D$18</f>
        <v>0</v>
      </c>
      <c r="W16" s="65">
        <f>'COULIBALY TEMAN'!$D$19</f>
        <v>5888</v>
      </c>
      <c r="X16" s="65">
        <f>'COULIBALY TEMAN'!$D$20</f>
        <v>1963</v>
      </c>
      <c r="Y16" s="65">
        <f>'COULIBALY TEMAN'!$D$21</f>
        <v>5888</v>
      </c>
      <c r="Z16" s="66"/>
      <c r="AA16" s="67">
        <f t="shared" si="0"/>
        <v>76753.5</v>
      </c>
      <c r="AB16" s="67">
        <f t="shared" si="1"/>
        <v>1000</v>
      </c>
      <c r="AC16" s="67">
        <f t="shared" si="2"/>
        <v>92776</v>
      </c>
    </row>
    <row r="17" spans="1:29" ht="27.75" customHeight="1" x14ac:dyDescent="0.25">
      <c r="A17" s="59" t="str">
        <f>'KOUACHY DJOMAN PACOME'!$B$3</f>
        <v>KOUACHY DJOMAN PACOME</v>
      </c>
      <c r="B17" s="60">
        <v>12853</v>
      </c>
      <c r="C17" s="60" t="s">
        <v>83</v>
      </c>
      <c r="D17" s="60" t="str">
        <f>'KOUACHY DJOMAN PACOME'!$B$5</f>
        <v>Oui</v>
      </c>
      <c r="E17" s="60" t="str">
        <f>'KOUACHY DJOMAN PACOME'!$B$6</f>
        <v>C</v>
      </c>
      <c r="F17" s="60">
        <f>'KOUACHY DJOMAN PACOME'!$B$7</f>
        <v>2</v>
      </c>
      <c r="G17" s="60">
        <f>'KOUACHY DJOMAN PACOME'!$B$8</f>
        <v>2.5</v>
      </c>
      <c r="I17" s="61">
        <f>'KOUACHY DJOMAN PACOME'!$C$14</f>
        <v>541059</v>
      </c>
      <c r="J17" s="61">
        <f>'KOUACHY DJOMAN PACOME'!$C$30</f>
        <v>30000</v>
      </c>
      <c r="K17" s="61">
        <f>'KOUACHY DJOMAN PACOME'!$C$31</f>
        <v>462350</v>
      </c>
      <c r="L17" s="23"/>
      <c r="M17" s="61">
        <f>'KOUACHY DJOMAN PACOME'!$C$23</f>
        <v>34087</v>
      </c>
      <c r="N17" s="61">
        <f>'KOUACHY DJOMAN PACOME'!$C$28</f>
        <v>1500</v>
      </c>
      <c r="O17" s="61">
        <f>'KOUACHY DJOMAN PACOME'!$C$17</f>
        <v>73122</v>
      </c>
      <c r="P17" s="23"/>
      <c r="Q17" s="61">
        <f>'KOUACHY DJOMAN PACOME'!$D$24</f>
        <v>41662</v>
      </c>
      <c r="R17" s="61">
        <f>'KOUACHY DJOMAN PACOME'!$D$26</f>
        <v>562.5</v>
      </c>
      <c r="S17" s="61">
        <f>'KOUACHY DJOMAN PACOME'!$D$25</f>
        <v>3750</v>
      </c>
      <c r="T17" s="61">
        <f>'KOUACHY DJOMAN PACOME'!$D$27</f>
        <v>3750</v>
      </c>
      <c r="U17" s="61">
        <f>'KOUACHY DJOMAN PACOME'!$D$29</f>
        <v>1500</v>
      </c>
      <c r="V17" s="61">
        <f>'KOUACHY DJOMAN PACOME'!$D$18</f>
        <v>0</v>
      </c>
      <c r="W17" s="61">
        <f>'KOUACHY DJOMAN PACOME'!$D$19</f>
        <v>6493</v>
      </c>
      <c r="X17" s="61">
        <f>'KOUACHY DJOMAN PACOME'!$D$20</f>
        <v>2164</v>
      </c>
      <c r="Y17" s="61">
        <f>'KOUACHY DJOMAN PACOME'!$D$21</f>
        <v>6493</v>
      </c>
      <c r="Z17" s="23"/>
      <c r="AA17" s="62">
        <f t="shared" si="0"/>
        <v>83811.5</v>
      </c>
      <c r="AB17" s="62">
        <f t="shared" si="1"/>
        <v>3000</v>
      </c>
      <c r="AC17" s="62">
        <f t="shared" si="2"/>
        <v>88272</v>
      </c>
    </row>
    <row r="18" spans="1:29" ht="27.75" customHeight="1" x14ac:dyDescent="0.25">
      <c r="A18" s="59" t="str">
        <f>'BLONDE MARCEL'!$B$3</f>
        <v>BLONDE MARCEL</v>
      </c>
      <c r="B18" s="60">
        <v>12855</v>
      </c>
      <c r="C18" s="60" t="s">
        <v>84</v>
      </c>
      <c r="D18" s="60" t="str">
        <f>'BLONDE MARCEL'!$B$5</f>
        <v>Oui</v>
      </c>
      <c r="E18" s="60" t="str">
        <f>'BLONDE MARCEL'!$B$6</f>
        <v>M</v>
      </c>
      <c r="F18" s="60">
        <f>'BLONDE MARCEL'!$B$7</f>
        <v>0</v>
      </c>
      <c r="G18" s="60">
        <f>'BLONDE MARCEL'!$B$8</f>
        <v>2</v>
      </c>
      <c r="I18" s="61">
        <f>'BLONDE MARCEL'!$C$14</f>
        <v>681600</v>
      </c>
      <c r="J18" s="61">
        <f>'BLONDE MARCEL'!$C$30</f>
        <v>30000</v>
      </c>
      <c r="K18" s="61">
        <f>'BLONDE MARCEL'!$C$31</f>
        <v>559523</v>
      </c>
      <c r="L18" s="23"/>
      <c r="M18" s="61">
        <f>'BLONDE MARCEL'!$C$23</f>
        <v>42941</v>
      </c>
      <c r="N18" s="61">
        <f>'BLONDE MARCEL'!$C$28</f>
        <v>1000</v>
      </c>
      <c r="O18" s="61">
        <f>'BLONDE MARCEL'!$C$17</f>
        <v>108136</v>
      </c>
      <c r="P18" s="23"/>
      <c r="Q18" s="61">
        <f>'BLONDE MARCEL'!$D$24</f>
        <v>52483</v>
      </c>
      <c r="R18" s="61">
        <f>'BLONDE MARCEL'!$D$26</f>
        <v>562.5</v>
      </c>
      <c r="S18" s="61">
        <f>'BLONDE MARCEL'!$D$25</f>
        <v>3750</v>
      </c>
      <c r="T18" s="61">
        <f>'BLONDE MARCEL'!$D$27</f>
        <v>3750</v>
      </c>
      <c r="U18" s="61">
        <f>'BLONDE MARCEL'!$D$29</f>
        <v>1000</v>
      </c>
      <c r="V18" s="61">
        <f>'BLONDE MARCEL'!$D$18</f>
        <v>0</v>
      </c>
      <c r="W18" s="61">
        <f>'BLONDE MARCEL'!$D$19</f>
        <v>8179</v>
      </c>
      <c r="X18" s="61">
        <f>'BLONDE MARCEL'!$D$20</f>
        <v>2726</v>
      </c>
      <c r="Y18" s="61">
        <f>'BLONDE MARCEL'!$D$21</f>
        <v>8179</v>
      </c>
      <c r="Z18" s="23"/>
      <c r="AA18" s="62">
        <f t="shared" si="0"/>
        <v>103486.5</v>
      </c>
      <c r="AB18" s="62">
        <f t="shared" si="1"/>
        <v>2000</v>
      </c>
      <c r="AC18" s="62">
        <f t="shared" si="2"/>
        <v>127220</v>
      </c>
    </row>
    <row r="19" spans="1:29" ht="27.75" customHeight="1" x14ac:dyDescent="0.25">
      <c r="A19" s="63" t="str">
        <f>'GNADOU PAULE MARIANNE'!$B$3</f>
        <v>GNADOU PAULE MARIANNE</v>
      </c>
      <c r="B19" s="64">
        <v>12863</v>
      </c>
      <c r="C19" s="64" t="s">
        <v>85</v>
      </c>
      <c r="D19" s="64" t="str">
        <f>'GNADOU PAULE MARIANNE'!$B$5</f>
        <v>Oui</v>
      </c>
      <c r="E19" s="64" t="str">
        <f>'GNADOU PAULE MARIANNE'!$B$6</f>
        <v>C</v>
      </c>
      <c r="F19" s="64">
        <f>'GNADOU PAULE MARIANNE'!$B$7</f>
        <v>3</v>
      </c>
      <c r="G19" s="64">
        <f>'GNADOU PAULE MARIANNE'!$B$8</f>
        <v>3</v>
      </c>
      <c r="I19" s="65">
        <f>'GNADOU PAULE MARIANNE'!$C$14</f>
        <v>3231501</v>
      </c>
      <c r="J19" s="65">
        <f>'GNADOU PAULE MARIANNE'!$C$30</f>
        <v>30000</v>
      </c>
      <c r="K19" s="65">
        <f>'GNADOU PAULE MARIANNE'!$C$31</f>
        <v>2317096</v>
      </c>
      <c r="L19" s="66"/>
      <c r="M19" s="65">
        <f>'GNADOU PAULE MARIANNE'!$C$23</f>
        <v>203585</v>
      </c>
      <c r="N19" s="65">
        <f>'GNADOU PAULE MARIANNE'!$C$28</f>
        <v>2000</v>
      </c>
      <c r="O19" s="65">
        <f>'GNADOU PAULE MARIANNE'!$C$17</f>
        <v>738820</v>
      </c>
      <c r="P19" s="66"/>
      <c r="Q19" s="65">
        <f>'GNADOU PAULE MARIANNE'!$D$24</f>
        <v>248826</v>
      </c>
      <c r="R19" s="65">
        <f>'GNADOU PAULE MARIANNE'!$D$26</f>
        <v>562.5</v>
      </c>
      <c r="S19" s="65">
        <f>'GNADOU PAULE MARIANNE'!$D$25</f>
        <v>3750</v>
      </c>
      <c r="T19" s="65">
        <f>'GNADOU PAULE MARIANNE'!$D$27</f>
        <v>3750</v>
      </c>
      <c r="U19" s="65">
        <f>'GNADOU PAULE MARIANNE'!$D$29</f>
        <v>2000</v>
      </c>
      <c r="V19" s="65">
        <f>'GNADOU PAULE MARIANNE'!$D$18</f>
        <v>0</v>
      </c>
      <c r="W19" s="65">
        <f>'GNADOU PAULE MARIANNE'!$D$19</f>
        <v>38778</v>
      </c>
      <c r="X19" s="65">
        <f>'GNADOU PAULE MARIANNE'!$D$20</f>
        <v>12926</v>
      </c>
      <c r="Y19" s="65">
        <f>'GNADOU PAULE MARIANNE'!$D$21</f>
        <v>38778</v>
      </c>
      <c r="Z19" s="66"/>
      <c r="AA19" s="67">
        <f t="shared" si="0"/>
        <v>460473.5</v>
      </c>
      <c r="AB19" s="67">
        <f t="shared" si="1"/>
        <v>4000</v>
      </c>
      <c r="AC19" s="67">
        <f t="shared" si="2"/>
        <v>829302</v>
      </c>
    </row>
    <row r="20" spans="1:29" ht="9.75" customHeight="1" x14ac:dyDescent="0.25">
      <c r="A20" s="23"/>
      <c r="B20" s="23"/>
      <c r="C20" s="23"/>
      <c r="D20" s="23"/>
      <c r="E20" s="23"/>
      <c r="F20" s="23"/>
      <c r="G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27.75" customHeight="1" x14ac:dyDescent="0.25">
      <c r="A21" s="68" t="s">
        <v>58</v>
      </c>
      <c r="B21" s="68"/>
      <c r="C21" s="68"/>
      <c r="D21" s="68"/>
      <c r="E21" s="68"/>
      <c r="F21" s="68"/>
      <c r="G21" s="68"/>
      <c r="I21" s="69">
        <f>SUM(I7:I19)</f>
        <v>18324875</v>
      </c>
      <c r="J21" s="69">
        <f>SUM(J7:J19)</f>
        <v>390000</v>
      </c>
      <c r="K21" s="69">
        <f>SUM(K7:K19)</f>
        <v>13773072</v>
      </c>
      <c r="L21" s="23"/>
      <c r="M21" s="70">
        <f>SUM(M7:M19)</f>
        <v>993411</v>
      </c>
      <c r="N21" s="70">
        <f t="shared" ref="N21:AC21" si="3">SUM(N7:N19)</f>
        <v>17500</v>
      </c>
      <c r="O21" s="70">
        <f t="shared" si="3"/>
        <v>3930892</v>
      </c>
      <c r="P21" s="23"/>
      <c r="Q21" s="71">
        <f t="shared" si="3"/>
        <v>1214169</v>
      </c>
      <c r="R21" s="71">
        <f t="shared" si="3"/>
        <v>7312.5</v>
      </c>
      <c r="S21" s="71">
        <f t="shared" si="3"/>
        <v>48750</v>
      </c>
      <c r="T21" s="71">
        <f t="shared" si="3"/>
        <v>48750</v>
      </c>
      <c r="U21" s="71">
        <f t="shared" si="3"/>
        <v>17500</v>
      </c>
      <c r="V21" s="71">
        <f t="shared" si="3"/>
        <v>560935</v>
      </c>
      <c r="W21" s="71">
        <f t="shared" si="3"/>
        <v>219900</v>
      </c>
      <c r="X21" s="71">
        <f t="shared" si="3"/>
        <v>73301</v>
      </c>
      <c r="Y21" s="71">
        <f t="shared" si="3"/>
        <v>219900</v>
      </c>
      <c r="Z21" s="23"/>
      <c r="AA21" s="72">
        <f t="shared" si="3"/>
        <v>2312392.5</v>
      </c>
      <c r="AB21" s="72">
        <f t="shared" si="3"/>
        <v>35000</v>
      </c>
      <c r="AC21" s="72">
        <f t="shared" si="3"/>
        <v>5004928</v>
      </c>
    </row>
  </sheetData>
  <mergeCells count="2">
    <mergeCell ref="M3:O4"/>
    <mergeCell ref="Q3:Y4"/>
  </mergeCells>
  <hyperlinks>
    <hyperlink ref="A7" location="'ELIE MOUSSA'!A1" display="'ELIE MOUSSA'!A1" xr:uid="{B6FA0773-E1A9-465C-9D99-36E00FF33485}"/>
    <hyperlink ref="A8" location="'TANGARA FANTA'!A1" display="'TANGARA FANTA'!A1" xr:uid="{D21FBB7A-332A-4714-A0DB-5952504DFDAA}"/>
    <hyperlink ref="A9" location="'OUATTARA ABDOULAYE'!A1" display="'OUATTARA ABDOULAYE'!A1" xr:uid="{79A01E01-32B5-479A-BEFA-7116B3F960F5}"/>
    <hyperlink ref="A10" location="'KARAMOKO MARCEL'!A1" display="'KARAMOKO MARCEL'!A1" xr:uid="{FB8E2E01-8161-4D24-BE47-B19B4337D9F7}"/>
    <hyperlink ref="A11" location="'DAN CESAR'!A1" display="'DAN CESAR'!A1" xr:uid="{1020DC6B-70B9-476B-BF0B-7C5E7AD449B9}"/>
    <hyperlink ref="A12" location="'ASSI BONAVENTURE'!A1" display="'ASSI BONAVENTURE'!A1" xr:uid="{B35343E5-31BA-44F6-B41B-37301A97B29D}"/>
    <hyperlink ref="A13" location="'BESONGLACHE PAUL'!A1" display="'BESONGLACHE PAUL'!A1" xr:uid="{93467D1F-2F52-4DB2-BA71-3EDE78E04981}"/>
    <hyperlink ref="A14" location="'KONAN JEAN YVES'!A1" display="'KONAN JEAN YVES'!A1" xr:uid="{EF5D30B7-BC41-492A-9B7E-0BDD15B1CE08}"/>
    <hyperlink ref="A15" location="'SANOGO MORIBA'!A1" display="'SANOGO MORIBA'!A1" xr:uid="{EEC24E97-C0CA-4D89-8D7A-54175F5DA805}"/>
    <hyperlink ref="A16" location="'COULIBALY TEMAN'!A1" display="'COULIBALY TEMAN'!A1" xr:uid="{C4B0E363-D6CB-4DB6-89F0-12A9675BAD7D}"/>
    <hyperlink ref="A17" location="'KOUACHY DJOMAN PACOME'!A1" display="'KOUACHY DJOMAN PACOME'!A1" xr:uid="{A2DE922B-01CB-455A-912B-D9CF7F64197F}"/>
    <hyperlink ref="A18" location="'BLONDE MARCEL'!A1" display="'BLONDE MARCEL'!A1" xr:uid="{EC9EB75C-3EC2-47C3-B477-130187122F66}"/>
    <hyperlink ref="A19" location="'GNADOU PAULE MARIANNE'!A1" display="'GNADOU PAULE MARIANNE'!A1" xr:uid="{74C30B24-B6BB-415A-B7AE-36DA808C5371}"/>
  </hyperlinks>
  <pageMargins left="0.70866141732283472" right="0.70866141732283472" top="0.74803149606299213" bottom="0.74803149606299213" header="0.31496062992125984" footer="0.31496062992125984"/>
  <pageSetup paperSize="9" scale="71" orientation="landscape" r:id="rId1"/>
  <colBreaks count="2" manualBreakCount="2">
    <brk id="15" max="1048575" man="1"/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34EA-9EC0-4B83-BAC4-2B8BFBBF4F85}">
  <dimension ref="A1:T47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RowHeight="15" x14ac:dyDescent="0.25"/>
  <cols>
    <col min="1" max="1" width="11.5703125" bestFit="1" customWidth="1"/>
    <col min="2" max="2" width="7.5703125" customWidth="1"/>
    <col min="3" max="3" width="8.5703125" customWidth="1"/>
    <col min="4" max="4" width="9.140625" customWidth="1"/>
    <col min="5" max="5" width="40.85546875" customWidth="1"/>
    <col min="6" max="6" width="12.5703125" bestFit="1" customWidth="1"/>
    <col min="7" max="7" width="12" bestFit="1" customWidth="1"/>
    <col min="8" max="9" width="2.140625" customWidth="1"/>
    <col min="10" max="10" width="11.5703125" bestFit="1" customWidth="1"/>
    <col min="11" max="11" width="7.5703125" customWidth="1"/>
    <col min="12" max="12" width="8.5703125" customWidth="1"/>
    <col min="13" max="13" width="9.140625" customWidth="1"/>
    <col min="14" max="14" width="40.85546875" customWidth="1"/>
    <col min="15" max="15" width="12.5703125" bestFit="1" customWidth="1"/>
    <col min="16" max="16" width="12.42578125" bestFit="1" customWidth="1"/>
    <col min="18" max="18" width="12.42578125" bestFit="1" customWidth="1"/>
    <col min="19" max="19" width="13.140625" bestFit="1" customWidth="1"/>
  </cols>
  <sheetData>
    <row r="1" spans="1:17" x14ac:dyDescent="0.25">
      <c r="A1" s="22" t="str">
        <f>"Comptabilisation charges sociales et fiscales "&amp;PROPER(TEXT(Synthèse!$I$1,"mmmm aaaa"))</f>
        <v>Comptabilisation charges sociales et fiscales Février 2026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1" t="s">
        <v>96</v>
      </c>
    </row>
    <row r="2" spans="1:17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7" ht="17.25" customHeight="1" x14ac:dyDescent="0.25">
      <c r="A3" s="24" t="str">
        <f>"Comptabilisation charges salariales "&amp;PROPER(TEXT(Synthèse!$I$1,"mmmm aaaa"))</f>
        <v>Comptabilisation charges salariales Février 2026</v>
      </c>
      <c r="B3" s="24"/>
      <c r="C3" s="25"/>
      <c r="D3" s="25"/>
      <c r="E3" s="25"/>
      <c r="F3" s="25"/>
      <c r="G3" s="25"/>
      <c r="H3" s="23"/>
      <c r="I3" s="23"/>
      <c r="J3" s="26" t="str">
        <f>"Comptabilisation charges patronales "&amp;PROPER(TEXT(Synthèse!$I$1,"mmmm aaaa"))</f>
        <v>Comptabilisation charges patronales Février 2026</v>
      </c>
      <c r="K3" s="26"/>
      <c r="L3" s="27"/>
      <c r="M3" s="27"/>
      <c r="N3" s="27"/>
      <c r="O3" s="27"/>
      <c r="P3" s="27"/>
    </row>
    <row r="4" spans="1:17" ht="17.2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7" ht="17.25" customHeight="1" x14ac:dyDescent="0.25">
      <c r="A5" s="28" t="s">
        <v>86</v>
      </c>
      <c r="B5" s="28" t="s">
        <v>94</v>
      </c>
      <c r="C5" s="28" t="s">
        <v>87</v>
      </c>
      <c r="D5" s="28" t="s">
        <v>91</v>
      </c>
      <c r="E5" s="28" t="s">
        <v>88</v>
      </c>
      <c r="F5" s="28" t="s">
        <v>89</v>
      </c>
      <c r="G5" s="28" t="s">
        <v>90</v>
      </c>
      <c r="H5" s="23"/>
      <c r="I5" s="23"/>
      <c r="J5" s="29" t="s">
        <v>86</v>
      </c>
      <c r="K5" s="29" t="s">
        <v>94</v>
      </c>
      <c r="L5" s="29" t="s">
        <v>87</v>
      </c>
      <c r="M5" s="29" t="s">
        <v>91</v>
      </c>
      <c r="N5" s="29" t="s">
        <v>88</v>
      </c>
      <c r="O5" s="29" t="s">
        <v>89</v>
      </c>
      <c r="P5" s="29" t="s">
        <v>90</v>
      </c>
    </row>
    <row r="6" spans="1:17" ht="17.25" customHeight="1" x14ac:dyDescent="0.25">
      <c r="A6" s="30">
        <f>Synthèse!$I$1</f>
        <v>46081</v>
      </c>
      <c r="B6" s="30" t="s">
        <v>95</v>
      </c>
      <c r="C6" s="31">
        <v>6611000</v>
      </c>
      <c r="D6" s="31"/>
      <c r="E6" s="32" t="str">
        <f>"Salaires bruts "&amp;PROPER(TEXT($A6,"mmm aaaa"))</f>
        <v>Salaires bruts Févr 2026</v>
      </c>
      <c r="F6" s="33">
        <f>Synthèse!$I$21</f>
        <v>18324875</v>
      </c>
      <c r="G6" s="33"/>
      <c r="H6" s="23"/>
      <c r="I6" s="23"/>
      <c r="J6" s="30">
        <f>Synthèse!$I$1</f>
        <v>46081</v>
      </c>
      <c r="K6" s="30" t="s">
        <v>95</v>
      </c>
      <c r="L6" s="31">
        <v>6413000</v>
      </c>
      <c r="M6" s="31"/>
      <c r="N6" s="32" t="str">
        <f>"CE et CN "&amp;PROPER(TEXT($J6,"mmm aaaa"))</f>
        <v>CE et CN Févr 2026</v>
      </c>
      <c r="O6" s="33">
        <f>Synthèse!$V$21+Synthèse!$W$21</f>
        <v>780835</v>
      </c>
      <c r="P6" s="33"/>
    </row>
    <row r="7" spans="1:17" ht="17.25" customHeight="1" x14ac:dyDescent="0.25">
      <c r="A7" s="34">
        <f>Synthèse!$I$1</f>
        <v>46081</v>
      </c>
      <c r="B7" s="34" t="s">
        <v>95</v>
      </c>
      <c r="C7" s="35">
        <v>6634000</v>
      </c>
      <c r="D7" s="35"/>
      <c r="E7" s="36" t="str">
        <f>"Transport "&amp;PROPER(TEXT($A7,"mmm aaaa"))</f>
        <v>Transport Févr 2026</v>
      </c>
      <c r="F7" s="37">
        <f>Synthèse!$J$21</f>
        <v>390000</v>
      </c>
      <c r="G7" s="37"/>
      <c r="H7" s="23"/>
      <c r="I7" s="23"/>
      <c r="J7" s="34">
        <f>Synthèse!$I$1</f>
        <v>46081</v>
      </c>
      <c r="K7" s="34" t="s">
        <v>95</v>
      </c>
      <c r="L7" s="35">
        <v>6414000</v>
      </c>
      <c r="M7" s="35"/>
      <c r="N7" s="36" t="str">
        <f>"TA "&amp;PROPER(TEXT($A7,"mmm aaaa"))</f>
        <v>TA Févr 2026</v>
      </c>
      <c r="O7" s="37">
        <f>Synthèse!$X$21</f>
        <v>73301</v>
      </c>
      <c r="P7" s="37"/>
    </row>
    <row r="8" spans="1:17" ht="17.25" customHeight="1" x14ac:dyDescent="0.25">
      <c r="A8" s="34">
        <f>Synthèse!$I$1</f>
        <v>46081</v>
      </c>
      <c r="B8" s="34" t="s">
        <v>95</v>
      </c>
      <c r="C8" s="35">
        <v>4220000</v>
      </c>
      <c r="D8" s="35" t="str">
        <f>Synthèse!$C7</f>
        <v>SAL0001</v>
      </c>
      <c r="E8" s="36" t="str">
        <f>"Salaire net "&amp;Synthèse!$A7&amp;" "&amp;PROPER(TEXT($A8,"mmm aaaa"))</f>
        <v>Salaire net ELIE MOUSSA Févr 2026</v>
      </c>
      <c r="F8" s="37"/>
      <c r="G8" s="37">
        <f>Synthèse!$K7</f>
        <v>293528</v>
      </c>
      <c r="H8" s="23"/>
      <c r="I8" s="23"/>
      <c r="J8" s="34">
        <f>Synthèse!$I$1</f>
        <v>46081</v>
      </c>
      <c r="K8" s="34" t="s">
        <v>95</v>
      </c>
      <c r="L8" s="35">
        <v>6415000</v>
      </c>
      <c r="M8" s="35"/>
      <c r="N8" s="36" t="str">
        <f>"FDFP "&amp;PROPER(TEXT($A8,"mmm aaaa"))</f>
        <v>FDFP Févr 2026</v>
      </c>
      <c r="O8" s="37">
        <f>Synthèse!$Y$21</f>
        <v>219900</v>
      </c>
      <c r="P8" s="37"/>
    </row>
    <row r="9" spans="1:17" ht="17.25" customHeight="1" x14ac:dyDescent="0.25">
      <c r="A9" s="34">
        <f>Synthèse!$I$1</f>
        <v>46081</v>
      </c>
      <c r="B9" s="34" t="s">
        <v>95</v>
      </c>
      <c r="C9" s="35">
        <v>4220000</v>
      </c>
      <c r="D9" s="35" t="str">
        <f>Synthèse!$C8</f>
        <v>SAL0003</v>
      </c>
      <c r="E9" s="36" t="str">
        <f>"Salaire net "&amp;Synthèse!$A8&amp;" "&amp;PROPER(TEXT($A9,"mmm aaaa"))</f>
        <v>Salaire net TANGARA FANTA Févr 2026</v>
      </c>
      <c r="F9" s="37"/>
      <c r="G9" s="37">
        <f>Synthèse!$K8</f>
        <v>2509418</v>
      </c>
      <c r="H9" s="23"/>
      <c r="I9" s="23"/>
      <c r="J9" s="34">
        <f>Synthèse!$I$1</f>
        <v>46081</v>
      </c>
      <c r="K9" s="34" t="s">
        <v>95</v>
      </c>
      <c r="L9" s="35">
        <v>6641010</v>
      </c>
      <c r="M9" s="35"/>
      <c r="N9" s="36" t="str">
        <f>"CNPS et AM Employeur "&amp;PROPER(TEXT($A9,"mmm aaaa"))</f>
        <v>CNPS et AM Employeur Févr 2026</v>
      </c>
      <c r="O9" s="37">
        <f>Synthèse!$Q$21+Synthèse!$R$21</f>
        <v>1221481.5</v>
      </c>
      <c r="P9" s="37"/>
    </row>
    <row r="10" spans="1:17" ht="17.25" customHeight="1" x14ac:dyDescent="0.25">
      <c r="A10" s="34">
        <f>Synthèse!$I$1</f>
        <v>46081</v>
      </c>
      <c r="B10" s="34" t="s">
        <v>95</v>
      </c>
      <c r="C10" s="35">
        <v>4220000</v>
      </c>
      <c r="D10" s="35" t="str">
        <f>Synthèse!$C9</f>
        <v>SAL0002</v>
      </c>
      <c r="E10" s="36" t="str">
        <f>"Salaire net "&amp;Synthèse!$A9&amp;" "&amp;PROPER(TEXT($A10,"mmm aaaa"))</f>
        <v>Salaire net OUATTARA ABDOULAYE Févr 2026</v>
      </c>
      <c r="F10" s="37"/>
      <c r="G10" s="37">
        <f>Synthèse!$K9</f>
        <v>257524</v>
      </c>
      <c r="H10" s="23"/>
      <c r="I10" s="23"/>
      <c r="J10" s="34">
        <f>Synthèse!$I$1</f>
        <v>46081</v>
      </c>
      <c r="K10" s="34" t="s">
        <v>95</v>
      </c>
      <c r="L10" s="35">
        <v>6641020</v>
      </c>
      <c r="M10" s="35"/>
      <c r="N10" s="36" t="str">
        <f>"CMU Employeur "&amp;PROPER(TEXT($A10,"mmm aaaa"))</f>
        <v>CMU Employeur Févr 2026</v>
      </c>
      <c r="O10" s="37">
        <f>Synthèse!$U$21</f>
        <v>17500</v>
      </c>
      <c r="P10" s="37"/>
    </row>
    <row r="11" spans="1:17" ht="17.25" customHeight="1" x14ac:dyDescent="0.25">
      <c r="A11" s="34">
        <f>Synthèse!$I$1</f>
        <v>46081</v>
      </c>
      <c r="B11" s="34" t="s">
        <v>95</v>
      </c>
      <c r="C11" s="35">
        <v>4220000</v>
      </c>
      <c r="D11" s="35" t="str">
        <f>Synthèse!$C10</f>
        <v>SAL0004</v>
      </c>
      <c r="E11" s="36" t="str">
        <f>"Salaire net "&amp;Synthèse!$A10&amp;" "&amp;PROPER(TEXT($A11,"mmm aaaa"))</f>
        <v>Salaire net KARAMOKO MARCEL Févr 2026</v>
      </c>
      <c r="F11" s="37"/>
      <c r="G11" s="37">
        <f>Synthèse!$K10</f>
        <v>1338346</v>
      </c>
      <c r="H11" s="23"/>
      <c r="I11" s="23"/>
      <c r="J11" s="34">
        <f>Synthèse!$I$1</f>
        <v>46081</v>
      </c>
      <c r="K11" s="34" t="s">
        <v>95</v>
      </c>
      <c r="L11" s="35">
        <v>6641050</v>
      </c>
      <c r="M11" s="35"/>
      <c r="N11" s="36" t="str">
        <f>"PF "&amp;PROPER(TEXT($A11,"mmm aaaa"))</f>
        <v>PF Févr 2026</v>
      </c>
      <c r="O11" s="37">
        <f>Synthèse!$S$21</f>
        <v>48750</v>
      </c>
      <c r="P11" s="37"/>
    </row>
    <row r="12" spans="1:17" ht="17.25" customHeight="1" x14ac:dyDescent="0.25">
      <c r="A12" s="34">
        <f>Synthèse!$I$1</f>
        <v>46081</v>
      </c>
      <c r="B12" s="34" t="s">
        <v>95</v>
      </c>
      <c r="C12" s="35">
        <v>4220000</v>
      </c>
      <c r="D12" s="35" t="str">
        <f>Synthèse!$C11</f>
        <v>SAL0007</v>
      </c>
      <c r="E12" s="36" t="str">
        <f>"Salaire net "&amp;Synthèse!$A11&amp;" "&amp;PROPER(TEXT($A12,"mmm aaaa"))</f>
        <v>Salaire net DAN CESAR Févr 2026</v>
      </c>
      <c r="F12" s="37"/>
      <c r="G12" s="37">
        <f>Synthèse!$K11</f>
        <v>328206</v>
      </c>
      <c r="H12" s="23"/>
      <c r="I12" s="23"/>
      <c r="J12" s="34">
        <f>Synthèse!$I$1</f>
        <v>46081</v>
      </c>
      <c r="K12" s="34" t="s">
        <v>95</v>
      </c>
      <c r="L12" s="35">
        <v>6641040</v>
      </c>
      <c r="M12" s="35"/>
      <c r="N12" s="36" t="str">
        <f>"AT "&amp;PROPER(TEXT($A12,"mmm aaaa"))</f>
        <v>AT Févr 2026</v>
      </c>
      <c r="O12" s="37">
        <f>Synthèse!$T$21</f>
        <v>48750</v>
      </c>
      <c r="P12" s="37"/>
    </row>
    <row r="13" spans="1:17" ht="17.25" customHeight="1" x14ac:dyDescent="0.25">
      <c r="A13" s="34">
        <f>Synthèse!$I$1</f>
        <v>46081</v>
      </c>
      <c r="B13" s="34" t="s">
        <v>95</v>
      </c>
      <c r="C13" s="35">
        <v>4220000</v>
      </c>
      <c r="D13" s="35" t="str">
        <f>Synthèse!$C12</f>
        <v>SAL0008</v>
      </c>
      <c r="E13" s="36" t="str">
        <f>"Salaire net "&amp;Synthèse!$A12&amp;" "&amp;PROPER(TEXT($A13,"mmm aaaa"))</f>
        <v>Salaire net ASSI BONAVENTURE Févr 2026</v>
      </c>
      <c r="F13" s="37"/>
      <c r="G13" s="37">
        <f>Synthèse!$K12</f>
        <v>208846</v>
      </c>
      <c r="H13" s="23"/>
      <c r="I13" s="23"/>
      <c r="J13" s="34">
        <f>Synthèse!$I$1</f>
        <v>46081</v>
      </c>
      <c r="K13" s="34" t="s">
        <v>95</v>
      </c>
      <c r="L13" s="35">
        <v>4311000</v>
      </c>
      <c r="M13" s="35" t="s">
        <v>92</v>
      </c>
      <c r="N13" s="36" t="str">
        <f>"PF "&amp;PROPER(TEXT($A13,"mmm aaaa"))</f>
        <v>PF Févr 2026</v>
      </c>
      <c r="O13" s="37"/>
      <c r="P13" s="37">
        <f>$O$11</f>
        <v>48750</v>
      </c>
    </row>
    <row r="14" spans="1:17" ht="17.25" customHeight="1" x14ac:dyDescent="0.25">
      <c r="A14" s="34">
        <f>Synthèse!$I$1</f>
        <v>46081</v>
      </c>
      <c r="B14" s="34" t="s">
        <v>95</v>
      </c>
      <c r="C14" s="35">
        <v>4220000</v>
      </c>
      <c r="D14" s="35" t="str">
        <f>Synthèse!$C13</f>
        <v>SAL0010</v>
      </c>
      <c r="E14" s="36" t="str">
        <f>"Salaire net "&amp;Synthèse!$A13&amp;" "&amp;PROPER(TEXT($A14,"mmm aaaa"))</f>
        <v>Salaire net BESONGACHE PAUL Févr 2026</v>
      </c>
      <c r="F14" s="37"/>
      <c r="G14" s="37">
        <f>Synthèse!$K13</f>
        <v>4143983</v>
      </c>
      <c r="H14" s="23"/>
      <c r="I14" s="23"/>
      <c r="J14" s="34">
        <f>Synthèse!$I$1</f>
        <v>46081</v>
      </c>
      <c r="K14" s="34" t="s">
        <v>95</v>
      </c>
      <c r="L14" s="35">
        <v>4312000</v>
      </c>
      <c r="M14" s="35" t="s">
        <v>92</v>
      </c>
      <c r="N14" s="36" t="str">
        <f>"AT "&amp;PROPER(TEXT($A14,"mmm aaaa"))</f>
        <v>AT Févr 2026</v>
      </c>
      <c r="O14" s="37"/>
      <c r="P14" s="37">
        <f>$O$12</f>
        <v>48750</v>
      </c>
    </row>
    <row r="15" spans="1:17" ht="17.25" customHeight="1" x14ac:dyDescent="0.25">
      <c r="A15" s="34">
        <f>Synthèse!$I$1</f>
        <v>46081</v>
      </c>
      <c r="B15" s="34" t="s">
        <v>95</v>
      </c>
      <c r="C15" s="35">
        <v>4220000</v>
      </c>
      <c r="D15" s="35" t="str">
        <f>Synthèse!$C14</f>
        <v>SAL0012</v>
      </c>
      <c r="E15" s="36" t="str">
        <f>"Salaire net "&amp;Synthèse!$A14&amp;" "&amp;PROPER(TEXT($A15,"mmm aaaa"))</f>
        <v>Salaire net KONAN JEAN YVES Févr 2026</v>
      </c>
      <c r="F15" s="37"/>
      <c r="G15" s="37">
        <f>Synthèse!$K14</f>
        <v>738570</v>
      </c>
      <c r="H15" s="23"/>
      <c r="I15" s="23"/>
      <c r="J15" s="34">
        <f>Synthèse!$I$1</f>
        <v>46081</v>
      </c>
      <c r="K15" s="34" t="s">
        <v>95</v>
      </c>
      <c r="L15" s="35">
        <v>4318010</v>
      </c>
      <c r="M15" s="35" t="s">
        <v>92</v>
      </c>
      <c r="N15" s="36" t="str">
        <f>"CNPS et AM Employeur "&amp;PROPER(TEXT($A15,"mmm aaaa"))</f>
        <v>CNPS et AM Employeur Févr 2026</v>
      </c>
      <c r="O15" s="37"/>
      <c r="P15" s="37">
        <f>$O$9</f>
        <v>1221481.5</v>
      </c>
    </row>
    <row r="16" spans="1:17" ht="17.25" customHeight="1" x14ac:dyDescent="0.25">
      <c r="A16" s="34">
        <f>Synthèse!$I$1</f>
        <v>46081</v>
      </c>
      <c r="B16" s="34" t="s">
        <v>95</v>
      </c>
      <c r="C16" s="35">
        <v>4220000</v>
      </c>
      <c r="D16" s="35" t="str">
        <f>Synthèse!$C15</f>
        <v>SAL0013</v>
      </c>
      <c r="E16" s="36" t="str">
        <f>"Salaire net "&amp;Synthèse!$A15&amp;" "&amp;PROPER(TEXT($A16,"mmm aaaa"))</f>
        <v>Salaire net SANOGO MORIBA Févr 2026</v>
      </c>
      <c r="F16" s="37"/>
      <c r="G16" s="37">
        <f>Synthèse!$K15</f>
        <v>205477</v>
      </c>
      <c r="H16" s="23"/>
      <c r="I16" s="23"/>
      <c r="J16" s="34">
        <f>Synthèse!$I$1</f>
        <v>46081</v>
      </c>
      <c r="K16" s="34" t="s">
        <v>95</v>
      </c>
      <c r="L16" s="35">
        <v>4318020</v>
      </c>
      <c r="M16" s="35" t="s">
        <v>92</v>
      </c>
      <c r="N16" s="36" t="str">
        <f>"CMU Employeur "&amp;PROPER(TEXT($A16,"mmm aaaa"))</f>
        <v>CMU Employeur Févr 2026</v>
      </c>
      <c r="O16" s="37"/>
      <c r="P16" s="37">
        <f>$O$10</f>
        <v>17500</v>
      </c>
    </row>
    <row r="17" spans="1:20" ht="17.25" customHeight="1" x14ac:dyDescent="0.25">
      <c r="A17" s="34">
        <f>Synthèse!$I$1</f>
        <v>46081</v>
      </c>
      <c r="B17" s="34" t="s">
        <v>95</v>
      </c>
      <c r="C17" s="35">
        <v>4220000</v>
      </c>
      <c r="D17" s="35" t="str">
        <f>Synthèse!$C16</f>
        <v>SAL0014</v>
      </c>
      <c r="E17" s="36" t="str">
        <f>"Salaire net "&amp;Synthèse!$A16&amp;" "&amp;PROPER(TEXT($A17,"mmm aaaa"))</f>
        <v>Salaire net COULIBALY TEMAN Févr 2026</v>
      </c>
      <c r="F17" s="37"/>
      <c r="G17" s="37">
        <f>Synthèse!$K16</f>
        <v>410205</v>
      </c>
      <c r="H17" s="23"/>
      <c r="I17" s="23"/>
      <c r="J17" s="34">
        <f>Synthèse!$I$1</f>
        <v>46081</v>
      </c>
      <c r="K17" s="34" t="s">
        <v>95</v>
      </c>
      <c r="L17" s="35">
        <v>4472000</v>
      </c>
      <c r="M17" s="35" t="s">
        <v>93</v>
      </c>
      <c r="N17" s="36" t="str">
        <f>"CE, CN, TA et FDFP "&amp;PROPER(TEXT($A17,"mmm aaaa"))</f>
        <v>CE, CN, TA et FDFP Févr 2026</v>
      </c>
      <c r="O17" s="37"/>
      <c r="P17" s="37">
        <f>$O$6+$O$7+$O$8</f>
        <v>1074036</v>
      </c>
    </row>
    <row r="18" spans="1:20" ht="17.25" customHeight="1" x14ac:dyDescent="0.25">
      <c r="A18" s="34">
        <f>Synthèse!$I$1</f>
        <v>46081</v>
      </c>
      <c r="B18" s="34" t="s">
        <v>95</v>
      </c>
      <c r="C18" s="35">
        <v>4220000</v>
      </c>
      <c r="D18" s="35" t="str">
        <f>Synthèse!$C17</f>
        <v>SAL0015</v>
      </c>
      <c r="E18" s="36" t="str">
        <f>"Salaire net "&amp;Synthèse!$A17&amp;" "&amp;PROPER(TEXT($A18,"mmm aaaa"))</f>
        <v>Salaire net KOUACHY DJOMAN PACOME Févr 2026</v>
      </c>
      <c r="F18" s="37"/>
      <c r="G18" s="37">
        <f>Synthèse!$K17</f>
        <v>462350</v>
      </c>
      <c r="H18" s="23"/>
      <c r="I18" s="23"/>
      <c r="J18" s="38" t="s">
        <v>59</v>
      </c>
      <c r="K18" s="38"/>
      <c r="L18" s="38"/>
      <c r="M18" s="38"/>
      <c r="N18" s="38"/>
      <c r="O18" s="39">
        <f>SUM(O6:O17)</f>
        <v>2410517.5</v>
      </c>
      <c r="P18" s="39">
        <f>SUM(P6:P17)</f>
        <v>2410517.5</v>
      </c>
    </row>
    <row r="19" spans="1:20" ht="17.25" customHeight="1" x14ac:dyDescent="0.25">
      <c r="A19" s="34">
        <f>Synthèse!$I$1</f>
        <v>46081</v>
      </c>
      <c r="B19" s="34" t="s">
        <v>95</v>
      </c>
      <c r="C19" s="35">
        <v>4220000</v>
      </c>
      <c r="D19" s="35" t="str">
        <f>Synthèse!$C18</f>
        <v>SAL0017</v>
      </c>
      <c r="E19" s="36" t="str">
        <f>"Salaire net "&amp;Synthèse!$A18&amp;" "&amp;PROPER(TEXT($A19,"mmm aaaa"))</f>
        <v>Salaire net BLONDE MARCEL Févr 2026</v>
      </c>
      <c r="F19" s="37"/>
      <c r="G19" s="37">
        <f>Synthèse!$K18</f>
        <v>559523</v>
      </c>
      <c r="H19" s="23"/>
      <c r="I19" s="23"/>
      <c r="J19" s="23"/>
      <c r="K19" s="23"/>
      <c r="L19" s="23"/>
      <c r="M19" s="23"/>
      <c r="N19" s="23"/>
      <c r="O19" s="40">
        <f>O18-P18</f>
        <v>0</v>
      </c>
      <c r="P19" s="41"/>
    </row>
    <row r="20" spans="1:20" ht="17.25" customHeight="1" x14ac:dyDescent="0.25">
      <c r="A20" s="34">
        <f>Synthèse!$I$1</f>
        <v>46081</v>
      </c>
      <c r="B20" s="34" t="s">
        <v>95</v>
      </c>
      <c r="C20" s="35">
        <v>4220000</v>
      </c>
      <c r="D20" s="35" t="str">
        <f>Synthèse!$C19</f>
        <v>SAL0018</v>
      </c>
      <c r="E20" s="36" t="str">
        <f>"Salaire net "&amp;Synthèse!$A19&amp;" "&amp;PROPER(TEXT($A20,"mmm aaaa"))</f>
        <v>Salaire net GNADOU PAULE MARIANNE Févr 2026</v>
      </c>
      <c r="F20" s="37"/>
      <c r="G20" s="37">
        <f>Synthèse!$K19</f>
        <v>2317096</v>
      </c>
      <c r="H20" s="23"/>
      <c r="I20" s="23"/>
      <c r="J20" s="23"/>
      <c r="K20" s="23"/>
      <c r="L20" s="23"/>
      <c r="M20" s="23"/>
      <c r="N20" s="23"/>
      <c r="O20" s="42" t="str">
        <f>IF($O$19=0,"Equilibré",IF($O$19&lt;0,"Crédit &gt;Débit",IF($O$19&gt;0,"Débit&gt;Crédit","")))</f>
        <v>Equilibré</v>
      </c>
      <c r="P20" s="41"/>
    </row>
    <row r="21" spans="1:20" ht="17.25" customHeight="1" x14ac:dyDescent="0.25">
      <c r="A21" s="34">
        <f>Synthèse!$I$1</f>
        <v>46081</v>
      </c>
      <c r="B21" s="34" t="s">
        <v>95</v>
      </c>
      <c r="C21" s="35">
        <v>4313000</v>
      </c>
      <c r="D21" s="35" t="s">
        <v>92</v>
      </c>
      <c r="E21" s="36" t="str">
        <f>"CNPS Salariés "&amp;PROPER(TEXT($A21,"mmm aaaa"))</f>
        <v>CNPS Salariés Févr 2026</v>
      </c>
      <c r="F21" s="37"/>
      <c r="G21" s="37">
        <f>Synthèse!$M$21</f>
        <v>993411</v>
      </c>
      <c r="H21" s="23"/>
      <c r="I21" s="23"/>
      <c r="J21" s="23"/>
      <c r="K21" s="23"/>
      <c r="L21" s="23"/>
      <c r="M21" s="23"/>
      <c r="N21" s="23"/>
      <c r="O21" s="23"/>
      <c r="P21" s="23"/>
    </row>
    <row r="22" spans="1:20" ht="17.25" customHeight="1" x14ac:dyDescent="0.25">
      <c r="A22" s="34">
        <f>Synthèse!$I$1</f>
        <v>46081</v>
      </c>
      <c r="B22" s="34" t="s">
        <v>95</v>
      </c>
      <c r="C22" s="35">
        <v>4318020</v>
      </c>
      <c r="D22" s="35" t="s">
        <v>92</v>
      </c>
      <c r="E22" s="36" t="str">
        <f>"CMU Salariés "&amp;PROPER(TEXT($A22,"mmm aaaa"))</f>
        <v>CMU Salariés Févr 2026</v>
      </c>
      <c r="F22" s="37"/>
      <c r="G22" s="37">
        <f>Synthèse!$N$21</f>
        <v>17500</v>
      </c>
      <c r="H22" s="23"/>
      <c r="I22" s="23"/>
      <c r="J22" s="23"/>
      <c r="K22" s="23"/>
      <c r="L22" s="23"/>
      <c r="M22" s="23"/>
      <c r="N22" s="23"/>
      <c r="O22" s="23"/>
      <c r="P22" s="23"/>
    </row>
    <row r="23" spans="1:20" ht="17.25" customHeight="1" x14ac:dyDescent="0.25">
      <c r="A23" s="43">
        <f>Synthèse!$I$1</f>
        <v>46081</v>
      </c>
      <c r="B23" s="43" t="s">
        <v>95</v>
      </c>
      <c r="C23" s="44">
        <v>4472000</v>
      </c>
      <c r="D23" s="44" t="s">
        <v>93</v>
      </c>
      <c r="E23" s="45" t="str">
        <f>"ITS Salariés "&amp;PROPER(TEXT($A23,"mmm aaaa"))</f>
        <v>ITS Salariés Févr 2026</v>
      </c>
      <c r="F23" s="46"/>
      <c r="G23" s="46">
        <f>Synthèse!$O$21</f>
        <v>3930892</v>
      </c>
      <c r="H23" s="23"/>
      <c r="I23" s="23"/>
      <c r="J23" s="23"/>
      <c r="K23" s="23"/>
      <c r="L23" s="23"/>
      <c r="M23" s="23"/>
      <c r="N23" s="23"/>
      <c r="O23" s="23"/>
      <c r="P23" s="23"/>
    </row>
    <row r="24" spans="1:20" ht="17.25" customHeight="1" x14ac:dyDescent="0.25">
      <c r="A24" s="47" t="s">
        <v>59</v>
      </c>
      <c r="B24" s="47"/>
      <c r="C24" s="47"/>
      <c r="D24" s="47"/>
      <c r="E24" s="47"/>
      <c r="F24" s="48">
        <f>SUM(F6:F23)</f>
        <v>18714875</v>
      </c>
      <c r="G24" s="48">
        <f>SUM(G6:G23)</f>
        <v>18714875</v>
      </c>
      <c r="H24" s="23"/>
      <c r="I24" s="23"/>
      <c r="J24" s="23"/>
      <c r="K24" s="23"/>
      <c r="L24" s="23"/>
      <c r="M24" s="23"/>
      <c r="N24" s="23"/>
      <c r="O24" s="23"/>
      <c r="P24" s="23"/>
    </row>
    <row r="25" spans="1:20" ht="17.25" customHeight="1" x14ac:dyDescent="0.25">
      <c r="A25" s="49"/>
      <c r="B25" s="49"/>
      <c r="C25" s="49"/>
      <c r="D25" s="49"/>
      <c r="E25" s="49"/>
      <c r="F25" s="40">
        <f>F24-G24</f>
        <v>0</v>
      </c>
      <c r="G25" s="41"/>
      <c r="H25" s="23"/>
      <c r="I25" s="23"/>
      <c r="J25" s="23"/>
      <c r="K25" s="23"/>
      <c r="L25" s="23"/>
      <c r="M25" s="23"/>
      <c r="N25" s="23"/>
      <c r="O25" s="23"/>
      <c r="P25" s="23"/>
    </row>
    <row r="26" spans="1:20" ht="17.25" customHeight="1" x14ac:dyDescent="0.25">
      <c r="A26" s="49"/>
      <c r="B26" s="49"/>
      <c r="C26" s="49"/>
      <c r="D26" s="49"/>
      <c r="E26" s="49"/>
      <c r="F26" s="42" t="str">
        <f>IF($F$25=0,"Equilibré",IF($F$25&lt;0,"Crédit &gt;Débit",IF($F$25&gt;0,"Débit&gt;Crédit","")))</f>
        <v>Equilibré</v>
      </c>
      <c r="G26" s="41"/>
      <c r="H26" s="23"/>
      <c r="I26" s="23"/>
      <c r="J26" s="23"/>
      <c r="K26" s="23"/>
      <c r="L26" s="23"/>
      <c r="M26" s="23"/>
      <c r="N26" s="23"/>
      <c r="O26" s="23"/>
      <c r="P26" s="23"/>
    </row>
    <row r="31" spans="1:20" x14ac:dyDescent="0.25">
      <c r="T31" t="s">
        <v>100</v>
      </c>
    </row>
    <row r="32" spans="1:20" x14ac:dyDescent="0.25">
      <c r="O32" t="s">
        <v>97</v>
      </c>
      <c r="Q32" t="s">
        <v>98</v>
      </c>
      <c r="S32" t="s">
        <v>99</v>
      </c>
    </row>
    <row r="33" spans="15:19" x14ac:dyDescent="0.25">
      <c r="O33" t="s">
        <v>73</v>
      </c>
      <c r="P33" s="116">
        <v>293528</v>
      </c>
      <c r="Q33" t="s">
        <v>73</v>
      </c>
      <c r="R33" s="73">
        <v>293528</v>
      </c>
      <c r="S33" s="116">
        <f>R33-P33</f>
        <v>0</v>
      </c>
    </row>
    <row r="34" spans="15:19" x14ac:dyDescent="0.25">
      <c r="O34" t="s">
        <v>74</v>
      </c>
      <c r="P34" s="116">
        <v>2509418</v>
      </c>
      <c r="Q34" t="s">
        <v>74</v>
      </c>
      <c r="R34" s="73">
        <v>2509418</v>
      </c>
      <c r="S34" s="116">
        <f t="shared" ref="S34:S45" si="0">R34-P34</f>
        <v>0</v>
      </c>
    </row>
    <row r="35" spans="15:19" x14ac:dyDescent="0.25">
      <c r="O35" t="s">
        <v>75</v>
      </c>
      <c r="P35" s="116">
        <v>257524</v>
      </c>
      <c r="Q35" t="s">
        <v>75</v>
      </c>
      <c r="R35" s="73">
        <v>257524</v>
      </c>
      <c r="S35" s="116">
        <f t="shared" si="0"/>
        <v>0</v>
      </c>
    </row>
    <row r="36" spans="15:19" x14ac:dyDescent="0.25">
      <c r="O36" t="s">
        <v>77</v>
      </c>
      <c r="P36" s="116">
        <v>1338346</v>
      </c>
      <c r="Q36" t="s">
        <v>77</v>
      </c>
      <c r="R36" s="73">
        <v>1338346</v>
      </c>
      <c r="S36" s="116">
        <f t="shared" si="0"/>
        <v>0</v>
      </c>
    </row>
    <row r="37" spans="15:19" x14ac:dyDescent="0.25">
      <c r="O37" t="s">
        <v>76</v>
      </c>
      <c r="P37" s="116">
        <v>328206</v>
      </c>
      <c r="Q37" t="s">
        <v>76</v>
      </c>
      <c r="R37" s="73">
        <v>328206</v>
      </c>
      <c r="S37" s="116">
        <f t="shared" si="0"/>
        <v>0</v>
      </c>
    </row>
    <row r="38" spans="15:19" x14ac:dyDescent="0.25">
      <c r="O38" t="s">
        <v>78</v>
      </c>
      <c r="P38" s="116">
        <v>208846</v>
      </c>
      <c r="Q38" t="s">
        <v>78</v>
      </c>
      <c r="R38" s="73">
        <v>208846</v>
      </c>
      <c r="S38" s="116">
        <f t="shared" si="0"/>
        <v>0</v>
      </c>
    </row>
    <row r="39" spans="15:19" x14ac:dyDescent="0.25">
      <c r="O39" t="s">
        <v>79</v>
      </c>
      <c r="P39" s="116">
        <v>4143983</v>
      </c>
      <c r="Q39" t="s">
        <v>79</v>
      </c>
      <c r="R39" s="73">
        <v>4143983</v>
      </c>
      <c r="S39" s="116">
        <f t="shared" si="0"/>
        <v>0</v>
      </c>
    </row>
    <row r="40" spans="15:19" x14ac:dyDescent="0.25">
      <c r="O40" t="s">
        <v>80</v>
      </c>
      <c r="P40" s="116">
        <v>738570</v>
      </c>
      <c r="Q40" t="s">
        <v>80</v>
      </c>
      <c r="R40" s="73">
        <v>738570</v>
      </c>
      <c r="S40" s="116">
        <f t="shared" si="0"/>
        <v>0</v>
      </c>
    </row>
    <row r="41" spans="15:19" x14ac:dyDescent="0.25">
      <c r="O41" t="s">
        <v>81</v>
      </c>
      <c r="P41" s="116">
        <v>205477</v>
      </c>
      <c r="Q41" t="s">
        <v>81</v>
      </c>
      <c r="R41" s="73">
        <v>205477</v>
      </c>
      <c r="S41" s="116">
        <f t="shared" si="0"/>
        <v>0</v>
      </c>
    </row>
    <row r="42" spans="15:19" x14ac:dyDescent="0.25">
      <c r="O42" t="s">
        <v>82</v>
      </c>
      <c r="P42" s="116">
        <v>410205</v>
      </c>
      <c r="Q42" t="s">
        <v>82</v>
      </c>
      <c r="R42" s="73">
        <v>410205</v>
      </c>
      <c r="S42" s="116">
        <f t="shared" si="0"/>
        <v>0</v>
      </c>
    </row>
    <row r="43" spans="15:19" x14ac:dyDescent="0.25">
      <c r="O43" t="s">
        <v>83</v>
      </c>
      <c r="P43" s="116">
        <v>462350</v>
      </c>
      <c r="Q43" t="s">
        <v>83</v>
      </c>
      <c r="R43" s="73">
        <v>462350</v>
      </c>
      <c r="S43" s="116">
        <f t="shared" si="0"/>
        <v>0</v>
      </c>
    </row>
    <row r="44" spans="15:19" x14ac:dyDescent="0.25">
      <c r="O44" t="s">
        <v>84</v>
      </c>
      <c r="P44" s="116">
        <v>559523</v>
      </c>
      <c r="Q44" t="s">
        <v>84</v>
      </c>
      <c r="R44" s="73">
        <v>559523</v>
      </c>
      <c r="S44" s="116">
        <f t="shared" si="0"/>
        <v>0</v>
      </c>
    </row>
    <row r="45" spans="15:19" x14ac:dyDescent="0.25">
      <c r="O45" t="s">
        <v>85</v>
      </c>
      <c r="P45" s="116">
        <v>2317096</v>
      </c>
      <c r="Q45" t="s">
        <v>85</v>
      </c>
      <c r="R45" s="73">
        <v>2317096</v>
      </c>
      <c r="S45" s="116">
        <f t="shared" si="0"/>
        <v>0</v>
      </c>
    </row>
    <row r="46" spans="15:19" x14ac:dyDescent="0.25">
      <c r="P46" s="116">
        <f>SUM(P33:P45)</f>
        <v>13773072</v>
      </c>
      <c r="R46" s="116">
        <f>SUM(R33:R45)</f>
        <v>13773072</v>
      </c>
      <c r="S46" s="116">
        <f>SUM(S33:S45)</f>
        <v>0</v>
      </c>
    </row>
    <row r="47" spans="15:19" x14ac:dyDescent="0.25">
      <c r="P47" s="116"/>
      <c r="S47" s="116"/>
    </row>
  </sheetData>
  <conditionalFormatting sqref="F25:G26">
    <cfRule type="expression" dxfId="16" priority="1">
      <formula>$F$25=0</formula>
    </cfRule>
    <cfRule type="expression" dxfId="15" priority="5">
      <formula>$F$25&lt;&gt;0</formula>
    </cfRule>
  </conditionalFormatting>
  <conditionalFormatting sqref="O19:P20">
    <cfRule type="expression" dxfId="14" priority="2">
      <formula>$O$19&lt;&gt;0</formula>
    </cfRule>
    <cfRule type="expression" dxfId="13" priority="3">
      <formula>$O$19=0</formula>
    </cfRule>
  </conditionalFormatting>
  <hyperlinks>
    <hyperlink ref="Q1" location="Synthèse!A1" display="Synthèse" xr:uid="{539963CE-6499-4443-9346-7161EDA56563}"/>
  </hyperlinks>
  <pageMargins left="0.7" right="0.7" top="0.75" bottom="0.75" header="0.3" footer="0.3"/>
  <ignoredErrors>
    <ignoredError sqref="N12:N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6CB5-B45F-426E-917C-81EDCFF8AA56}">
  <dimension ref="A1:I33"/>
  <sheetViews>
    <sheetView showGridLines="0" zoomScaleNormal="100" workbookViewId="0">
      <selection activeCell="C17" sqref="C17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36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63</v>
      </c>
      <c r="C5" s="129"/>
      <c r="D5" s="130"/>
    </row>
    <row r="6" spans="1:6" x14ac:dyDescent="0.25">
      <c r="A6" s="10" t="s">
        <v>1</v>
      </c>
      <c r="B6" s="124" t="s">
        <v>35</v>
      </c>
      <c r="C6" s="124"/>
      <c r="D6" s="124"/>
    </row>
    <row r="7" spans="1:6" x14ac:dyDescent="0.25">
      <c r="A7" s="10" t="s">
        <v>30</v>
      </c>
      <c r="B7" s="124">
        <v>0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2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315719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42301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11000</v>
      </c>
      <c r="D16" s="5"/>
    </row>
    <row r="17" spans="1:9" ht="20.25" customHeight="1" x14ac:dyDescent="0.25">
      <c r="A17" s="12" t="s">
        <v>16</v>
      </c>
      <c r="B17" s="13" t="s">
        <v>28</v>
      </c>
      <c r="C17" s="14">
        <f>IF($C$15-$C$16&lt;0,0,$C$15-$C$16)</f>
        <v>31301</v>
      </c>
      <c r="D17" s="15"/>
    </row>
    <row r="18" spans="1:9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29046</v>
      </c>
      <c r="G18" s="8"/>
    </row>
    <row r="19" spans="1:9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3789</v>
      </c>
      <c r="G19" s="8"/>
    </row>
    <row r="20" spans="1:9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1263</v>
      </c>
      <c r="G20" s="8"/>
    </row>
    <row r="21" spans="1:9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3789</v>
      </c>
      <c r="G21" s="8"/>
    </row>
    <row r="22" spans="1:9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9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19890</v>
      </c>
      <c r="D23" s="5"/>
      <c r="F23" s="6"/>
      <c r="G23" s="7">
        <f>C23-ROUND(F23,0)</f>
        <v>19890</v>
      </c>
    </row>
    <row r="24" spans="1:9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24310</v>
      </c>
      <c r="F24" s="6"/>
      <c r="G24" s="7">
        <f>D24-ROUND(F24,0)</f>
        <v>24310</v>
      </c>
      <c r="I24" s="8"/>
    </row>
    <row r="25" spans="1:9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  <c r="G25" s="8"/>
    </row>
    <row r="26" spans="1:9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  <c r="G26" s="9"/>
    </row>
    <row r="27" spans="1:9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  <c r="G27" s="8"/>
    </row>
    <row r="28" spans="1:9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1000</v>
      </c>
      <c r="D28" s="5"/>
    </row>
    <row r="29" spans="1:9" ht="20.25" customHeight="1" x14ac:dyDescent="0.25">
      <c r="A29" s="2" t="s">
        <v>24</v>
      </c>
      <c r="B29" s="3" t="s">
        <v>28</v>
      </c>
      <c r="C29" s="5"/>
      <c r="D29" s="6">
        <f>C28</f>
        <v>1000</v>
      </c>
      <c r="G29" s="8"/>
    </row>
    <row r="30" spans="1:9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9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293528</v>
      </c>
      <c r="D31" s="15"/>
    </row>
    <row r="32" spans="1:9" ht="20.25" customHeight="1" x14ac:dyDescent="0.25">
      <c r="A32" s="16" t="s">
        <v>6</v>
      </c>
      <c r="B32" s="17"/>
      <c r="C32" s="18">
        <f>C17+C23+C28</f>
        <v>52191</v>
      </c>
      <c r="D32" s="19"/>
    </row>
    <row r="33" spans="1:7" ht="20.25" customHeight="1" x14ac:dyDescent="0.25">
      <c r="A33" s="16" t="s">
        <v>7</v>
      </c>
      <c r="B33" s="17"/>
      <c r="C33" s="20"/>
      <c r="D33" s="18">
        <f>D18+D19+D20+D21+D22+D24+D25+D26+D27+D29</f>
        <v>71259.5</v>
      </c>
      <c r="G33" s="8"/>
    </row>
  </sheetData>
  <mergeCells count="9">
    <mergeCell ref="B7:D7"/>
    <mergeCell ref="B8:D8"/>
    <mergeCell ref="B9:D9"/>
    <mergeCell ref="F22:G22"/>
    <mergeCell ref="A1:D1"/>
    <mergeCell ref="B3:D3"/>
    <mergeCell ref="B4:D4"/>
    <mergeCell ref="B6:D6"/>
    <mergeCell ref="B5:D5"/>
  </mergeCells>
  <conditionalFormatting sqref="G23:G24">
    <cfRule type="cellIs" dxfId="12" priority="1" operator="notEqual">
      <formula>0</formula>
    </cfRule>
  </conditionalFormatting>
  <dataValidations count="6">
    <dataValidation type="list" allowBlank="1" showInputMessage="1" showErrorMessage="1" promptTitle="Instruction" prompt="Partiel : l'employeur paye la moitié de la CMU_x000a_Total : l'employeur paye la totalité de la CMU" sqref="B9:D9" xr:uid="{3A0586F3-6010-4987-B8F1-89BBAD888493}">
      <formula1>"Total,Partiel"</formula1>
    </dataValidation>
    <dataValidation allowBlank="1" showInputMessage="1" showErrorMessage="1" promptTitle="Instruction" prompt="Saisissez le nombre d'enfants à charges du salarié" sqref="B7:D7" xr:uid="{B48A1F41-E675-4B25-AE3B-1A00C4B4B64D}"/>
    <dataValidation type="list" allowBlank="1" showInputMessage="1" showErrorMessage="1" promptTitle="Instruction" prompt="C : Célibataire_x000a_M : Marié" sqref="B6:D6" xr:uid="{E247A41A-B8D4-4F61-91D8-FAB32D522E35}">
      <formula1>"C,M"</formula1>
    </dataValidation>
    <dataValidation type="list" allowBlank="1" showInputMessage="1" showErrorMessage="1" promptTitle="Instruction" prompt="Indiqué si c'est un stagiaire ou un salarié." sqref="B4:D4" xr:uid="{CE4E0747-D2A3-474C-BA32-BA4140F710A2}">
      <formula1>"Employé,Stagiaire"</formula1>
    </dataValidation>
    <dataValidation allowBlank="1" showInputMessage="1" showErrorMessage="1" promptTitle="Instruction" prompt="Saisissez les nom et prénoms du salarié." sqref="B3:D3" xr:uid="{0704AA28-6118-44AA-A7DE-71635CC721EE}"/>
    <dataValidation type="list" allowBlank="1" showInputMessage="1" showErrorMessage="1" promptTitle="Instruction" prompt="Indiqué si c'est un stagiaire ou un salarié." sqref="B5:D5" xr:uid="{77C5B819-B828-4E51-9F40-D8312366B5C6}">
      <formula1>"Oui,Non"</formula1>
    </dataValidation>
  </dataValidations>
  <hyperlinks>
    <hyperlink ref="F1" location="Synthèse!A1" display="Synthèse" xr:uid="{5B335D58-056E-4F3E-93E1-1B16433F4A19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8DA3-B1B2-4187-9635-C715C6E987EE}">
  <dimension ref="A1:G33"/>
  <sheetViews>
    <sheetView showGridLines="0" zoomScaleNormal="100" workbookViewId="0">
      <selection activeCell="F31" sqref="F31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38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35</v>
      </c>
      <c r="C6" s="124"/>
      <c r="D6" s="124"/>
    </row>
    <row r="7" spans="1:6" x14ac:dyDescent="0.25">
      <c r="A7" s="10" t="s">
        <v>30</v>
      </c>
      <c r="B7" s="124">
        <v>0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2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3525060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843017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11000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832017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42301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14100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42301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212625</v>
      </c>
      <c r="D23" s="5"/>
      <c r="F23" s="6"/>
      <c r="G23" s="7">
        <f>C23-ROUND(F23,0)</f>
        <v>212625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259875</v>
      </c>
      <c r="F24" s="6"/>
      <c r="G24" s="7">
        <f>D24-ROUND(F24,0)</f>
        <v>259875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1000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1000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2509418</v>
      </c>
      <c r="D31" s="15"/>
      <c r="G31" s="8"/>
    </row>
    <row r="32" spans="1:7" ht="20.25" customHeight="1" x14ac:dyDescent="0.25">
      <c r="A32" s="16" t="s">
        <v>6</v>
      </c>
      <c r="B32" s="17"/>
      <c r="C32" s="18">
        <f>C17+C23+C28</f>
        <v>1045642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325338.5</v>
      </c>
    </row>
  </sheetData>
  <mergeCells count="9">
    <mergeCell ref="B7:D7"/>
    <mergeCell ref="B8:D8"/>
    <mergeCell ref="B9:D9"/>
    <mergeCell ref="F22:G22"/>
    <mergeCell ref="A1:D1"/>
    <mergeCell ref="B3:D3"/>
    <mergeCell ref="B4:D4"/>
    <mergeCell ref="B6:D6"/>
    <mergeCell ref="B5:D5"/>
  </mergeCells>
  <conditionalFormatting sqref="G23:G24">
    <cfRule type="cellIs" dxfId="11" priority="1" operator="notEqual">
      <formula>0</formula>
    </cfRule>
  </conditionalFormatting>
  <dataValidations count="6">
    <dataValidation allowBlank="1" showInputMessage="1" showErrorMessage="1" promptTitle="Instruction" prompt="Saisissez les nom et prénoms du salarié." sqref="B3:D3" xr:uid="{365AE722-9EBD-401D-8D3D-D5D6B4F9B2DB}"/>
    <dataValidation type="list" allowBlank="1" showInputMessage="1" showErrorMessage="1" promptTitle="Instruction" prompt="Indiqué si c'est un stagiaire ou un salarié." sqref="B4:D4" xr:uid="{E035D546-D90E-4719-A9F8-3478B9A54DDD}">
      <formula1>"Employé,Stagiaire"</formula1>
    </dataValidation>
    <dataValidation type="list" allowBlank="1" showInputMessage="1" showErrorMessage="1" promptTitle="Instruction" prompt="C : Célibataire_x000a_M : Marié" sqref="B6:D6" xr:uid="{BD6213A2-7464-4CA2-904D-F9E8D20A9B47}">
      <formula1>"C,M"</formula1>
    </dataValidation>
    <dataValidation allowBlank="1" showInputMessage="1" showErrorMessage="1" promptTitle="Instruction" prompt="Saisissez le nombre d'enfants à charges du salarié" sqref="B7:D7" xr:uid="{59045C17-B327-4E5F-BF6F-9FF669849A77}"/>
    <dataValidation type="list" allowBlank="1" showInputMessage="1" showErrorMessage="1" promptTitle="Instruction" prompt="Partiel : l'employeur paye la moitié de la CMU_x000a_Total : l'employeur paye la totalité de la CMU" sqref="B9:D9" xr:uid="{D1D6B91D-D8EE-422D-A5B4-95AB37DBE9AD}">
      <formula1>"Total,Partiel"</formula1>
    </dataValidation>
    <dataValidation type="list" allowBlank="1" showInputMessage="1" showErrorMessage="1" promptTitle="Instruction" prompt="Indiqué si c'est un stagiaire ou un salarié." sqref="B5:D5" xr:uid="{F61C9F53-6941-4DEB-A811-F4C7ADD96407}">
      <formula1>"Oui,Non"</formula1>
    </dataValidation>
  </dataValidations>
  <hyperlinks>
    <hyperlink ref="F1" location="Synthèse!A1" display="Synthèse" xr:uid="{BBCA6C7C-5FA9-4FF1-A4BD-664F26CDCE5D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C4C6-A538-4851-A8CF-D540FB5041D2}">
  <dimension ref="A1:G33"/>
  <sheetViews>
    <sheetView showGridLines="0" zoomScaleNormal="100" workbookViewId="0">
      <selection activeCell="F1" sqref="F1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39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35</v>
      </c>
      <c r="C6" s="124"/>
      <c r="D6" s="124"/>
    </row>
    <row r="7" spans="1:6" x14ac:dyDescent="0.25">
      <c r="A7" s="10" t="s">
        <v>30</v>
      </c>
      <c r="B7" s="124">
        <v>4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4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246023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27665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33000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0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2952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984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2952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15499</v>
      </c>
      <c r="D23" s="5"/>
      <c r="F23" s="6"/>
      <c r="G23" s="7">
        <f>C23-ROUND(F23,0)</f>
        <v>15499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18944</v>
      </c>
      <c r="F24" s="6"/>
      <c r="G24" s="7">
        <f>D24-ROUND(F24,0)</f>
        <v>18944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3000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3000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257524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18499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33942.5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10" priority="1" operator="notEqual">
      <formula>0</formula>
    </cfRule>
  </conditionalFormatting>
  <dataValidations disablePrompts="1" count="6">
    <dataValidation type="list" allowBlank="1" showInputMessage="1" showErrorMessage="1" promptTitle="Instruction" prompt="Partiel : l'employeur paye la moitié de la CMU_x000a_Total : l'employeur paye la totalité de la CMU" sqref="B9:D9" xr:uid="{93618035-AA0D-49E7-ADCE-32AC8D476814}">
      <formula1>"Total,Partiel"</formula1>
    </dataValidation>
    <dataValidation allowBlank="1" showInputMessage="1" showErrorMessage="1" promptTitle="Instruction" prompt="Saisissez le nombre d'enfants à charges du salarié" sqref="B7:D7" xr:uid="{825B7B4C-87C2-452A-BB2D-62EC0DBE631B}"/>
    <dataValidation type="list" allowBlank="1" showInputMessage="1" showErrorMessage="1" promptTitle="Instruction" prompt="C : Célibataire_x000a_M : Marié" sqref="B6:D6" xr:uid="{0222CA38-5857-4823-891C-A1492B9F7519}">
      <formula1>"C,M"</formula1>
    </dataValidation>
    <dataValidation type="list" allowBlank="1" showInputMessage="1" showErrorMessage="1" promptTitle="Instruction" prompt="Indiqué si c'est un stagiaire ou un salarié." sqref="B4:D4" xr:uid="{A7C0FD47-3E2F-425C-9004-4B6295677CF1}">
      <formula1>"Employé,Stagiaire"</formula1>
    </dataValidation>
    <dataValidation allowBlank="1" showInputMessage="1" showErrorMessage="1" promptTitle="Instruction" prompt="Saisissez les nom et prénoms du salarié." sqref="B3:D3" xr:uid="{1E1DB40E-2AA6-423B-A874-1A8E368D7EE3}"/>
    <dataValidation type="list" allowBlank="1" showInputMessage="1" showErrorMessage="1" promptTitle="Instruction" prompt="Indiqué si c'est un stagiaire ou un salarié." sqref="B5:D5" xr:uid="{DD4ED7A6-3436-4CB2-9066-C0DB6BE6999F}">
      <formula1>"Oui,Non"</formula1>
    </dataValidation>
  </dataValidations>
  <hyperlinks>
    <hyperlink ref="F1" location="Synthèse!A1" display="Synthèse" xr:uid="{80BDFC74-81CE-45C5-B2B4-6F38DACA21C2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3720-1E60-42AE-B38A-7AC2572FC57D}">
  <dimension ref="A1:G33"/>
  <sheetViews>
    <sheetView showGridLines="0" zoomScaleNormal="100" workbookViewId="0">
      <selection activeCell="C17" sqref="C17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40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31</v>
      </c>
      <c r="C6" s="124"/>
      <c r="D6" s="124"/>
    </row>
    <row r="7" spans="1:6" x14ac:dyDescent="0.25">
      <c r="A7" s="10" t="s">
        <v>30</v>
      </c>
      <c r="B7" s="124">
        <v>0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1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1808961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386150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386150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21708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7236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21708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113965</v>
      </c>
      <c r="D23" s="5"/>
      <c r="F23" s="6"/>
      <c r="G23" s="7">
        <f>C23-ROUND(F23,0)</f>
        <v>113965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139290</v>
      </c>
      <c r="F24" s="6"/>
      <c r="G24" s="7">
        <f>D24-ROUND(F24,0)</f>
        <v>139290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500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500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1338346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500615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176796.5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9" priority="1" operator="notEqual">
      <formula>0</formula>
    </cfRule>
  </conditionalFormatting>
  <dataValidations count="6">
    <dataValidation allowBlank="1" showInputMessage="1" showErrorMessage="1" promptTitle="Instruction" prompt="Saisissez les nom et prénoms du salarié." sqref="B3:D3" xr:uid="{52A495E7-50A3-481B-A776-9570B50261B4}"/>
    <dataValidation type="list" allowBlank="1" showInputMessage="1" showErrorMessage="1" promptTitle="Instruction" prompt="Indiqué si c'est un stagiaire ou un salarié." sqref="B4:D4" xr:uid="{EBC696F8-C8B8-480D-9FA4-7E26025B009D}">
      <formula1>"Employé,Stagiaire"</formula1>
    </dataValidation>
    <dataValidation type="list" allowBlank="1" showInputMessage="1" showErrorMessage="1" promptTitle="Instruction" prompt="C : Célibataire_x000a_M : Marié" sqref="B6:D6" xr:uid="{41674BFC-638E-4555-8A4E-161D8A8591E7}">
      <formula1>"C,M"</formula1>
    </dataValidation>
    <dataValidation allowBlank="1" showInputMessage="1" showErrorMessage="1" promptTitle="Instruction" prompt="Saisissez le nombre d'enfants à charges du salarié" sqref="B7:D7" xr:uid="{3BE14853-13B0-4AFE-A653-12BD1D06C383}"/>
    <dataValidation type="list" allowBlank="1" showInputMessage="1" showErrorMessage="1" promptTitle="Instruction" prompt="Partiel : l'employeur paye la moitié de la CMU_x000a_Total : l'employeur paye la totalité de la CMU" sqref="B9:D9" xr:uid="{1ADF8F9B-8D78-46F8-AF11-C27826631417}">
      <formula1>"Total,Partiel"</formula1>
    </dataValidation>
    <dataValidation type="list" allowBlank="1" showInputMessage="1" showErrorMessage="1" promptTitle="Instruction" prompt="Indiqué si c'est un stagiaire ou un salarié." sqref="B5:D5" xr:uid="{C711D9E8-560F-4344-B615-5C5D750162BB}">
      <formula1>"Oui,Non"</formula1>
    </dataValidation>
  </dataValidations>
  <hyperlinks>
    <hyperlink ref="F1" location="Synthèse!A1" display="Synthèse" xr:uid="{D2A73F0D-9F0B-4E52-B1F9-A69EC7682DBF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342D-FDF9-43B9-9A8A-BB1F5FAB9C15}">
  <dimension ref="A1:G33"/>
  <sheetViews>
    <sheetView showGridLines="0" zoomScaleNormal="100" workbookViewId="0">
      <selection activeCell="F31" sqref="F31:G31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41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35</v>
      </c>
      <c r="C6" s="124"/>
      <c r="D6" s="124"/>
    </row>
    <row r="7" spans="1:6" x14ac:dyDescent="0.25">
      <c r="A7" s="10" t="s">
        <v>30</v>
      </c>
      <c r="B7" s="124">
        <v>2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3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349664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49429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22000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27429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4196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1399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4196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22029</v>
      </c>
      <c r="D23" s="5"/>
      <c r="F23" s="6"/>
      <c r="G23" s="7">
        <f>C23-ROUND(F23,0)</f>
        <v>22029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26924</v>
      </c>
      <c r="F24" s="6"/>
      <c r="G24" s="7">
        <f>D24-ROUND(F24,0)</f>
        <v>26924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2000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2000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328206</v>
      </c>
      <c r="D31" s="15"/>
      <c r="G31" s="8"/>
    </row>
    <row r="32" spans="1:7" ht="20.25" customHeight="1" x14ac:dyDescent="0.25">
      <c r="A32" s="16" t="s">
        <v>6</v>
      </c>
      <c r="B32" s="17"/>
      <c r="C32" s="18">
        <f>C17+C23+C28</f>
        <v>51458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42581.5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8" priority="1" operator="notEqual">
      <formula>0</formula>
    </cfRule>
  </conditionalFormatting>
  <dataValidations count="6">
    <dataValidation type="list" allowBlank="1" showInputMessage="1" showErrorMessage="1" promptTitle="Instruction" prompt="Partiel : l'employeur paye la moitié de la CMU_x000a_Total : l'employeur paye la totalité de la CMU" sqref="B9:D9" xr:uid="{E930DA03-C8C2-4B38-A678-AB5AC633B810}">
      <formula1>"Total,Partiel"</formula1>
    </dataValidation>
    <dataValidation allowBlank="1" showInputMessage="1" showErrorMessage="1" promptTitle="Instruction" prompt="Saisissez le nombre d'enfants à charges du salarié" sqref="B7:D7" xr:uid="{86950DEA-ECC9-4CB1-9852-A5A6F90403E2}"/>
    <dataValidation type="list" allowBlank="1" showInputMessage="1" showErrorMessage="1" promptTitle="Instruction" prompt="C : Célibataire_x000a_M : Marié" sqref="B6:D6" xr:uid="{6D0AE209-78AB-419F-9905-7AE14A84C393}">
      <formula1>"C,M"</formula1>
    </dataValidation>
    <dataValidation type="list" allowBlank="1" showInputMessage="1" showErrorMessage="1" promptTitle="Instruction" prompt="Indiqué si c'est un stagiaire ou un salarié." sqref="B4:D4" xr:uid="{E2A60924-040C-4F9B-A03A-96F10951EC29}">
      <formula1>"Employé,Stagiaire"</formula1>
    </dataValidation>
    <dataValidation allowBlank="1" showInputMessage="1" showErrorMessage="1" promptTitle="Instruction" prompt="Saisissez les nom et prénoms du salarié." sqref="B3:D3" xr:uid="{20A5C1D5-416D-47D6-B899-022EBB00B392}"/>
    <dataValidation type="list" allowBlank="1" showInputMessage="1" showErrorMessage="1" promptTitle="Instruction" prompt="Indiqué si c'est un stagiaire ou un salarié." sqref="B5:D5" xr:uid="{4CB20F5A-0462-4AA6-8774-F92492BC76CC}">
      <formula1>"Oui,Non"</formula1>
    </dataValidation>
  </dataValidations>
  <hyperlinks>
    <hyperlink ref="F1" location="Synthèse!A1" display="Synthèse" xr:uid="{CBB272BA-3655-429C-8382-9C40A3612D53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5E4-87EF-47C6-BFA2-E9AA0D832603}">
  <dimension ref="A1:G33"/>
  <sheetViews>
    <sheetView showGridLines="0" zoomScaleNormal="100" workbookViewId="0">
      <selection activeCell="C14" sqref="C14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42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31</v>
      </c>
      <c r="C6" s="124"/>
      <c r="D6" s="124"/>
    </row>
    <row r="7" spans="1:6" x14ac:dyDescent="0.25">
      <c r="A7" s="10" t="s">
        <v>30</v>
      </c>
      <c r="B7" s="124">
        <v>0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1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215375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22460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22460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2585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862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2585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13569</v>
      </c>
      <c r="D23" s="5"/>
      <c r="F23" s="6"/>
      <c r="G23" s="7">
        <f>C23-ROUND(F23,0)</f>
        <v>13569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16584</v>
      </c>
      <c r="F24" s="6"/>
      <c r="G24" s="7">
        <f>D24-ROUND(F24,0)</f>
        <v>16584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500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500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208846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36529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28593.5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7" priority="1" operator="notEqual">
      <formula>0</formula>
    </cfRule>
  </conditionalFormatting>
  <dataValidations count="6">
    <dataValidation allowBlank="1" showInputMessage="1" showErrorMessage="1" promptTitle="Instruction" prompt="Saisissez les nom et prénoms du salarié." sqref="B3:D3" xr:uid="{2A28A075-8093-47E0-9F8A-5334BB271FA1}"/>
    <dataValidation type="list" allowBlank="1" showInputMessage="1" showErrorMessage="1" promptTitle="Instruction" prompt="Indiqué si c'est un stagiaire ou un salarié." sqref="B4:D4" xr:uid="{30C5FBAA-EFE2-4497-8416-62872CD090D3}">
      <formula1>"Employé,Stagiaire"</formula1>
    </dataValidation>
    <dataValidation type="list" allowBlank="1" showInputMessage="1" showErrorMessage="1" promptTitle="Instruction" prompt="C : Célibataire_x000a_M : Marié" sqref="B6:D6" xr:uid="{5E1113D1-D198-4C80-8F69-438B06B05A19}">
      <formula1>"C,M"</formula1>
    </dataValidation>
    <dataValidation allowBlank="1" showInputMessage="1" showErrorMessage="1" promptTitle="Instruction" prompt="Saisissez le nombre d'enfants à charges du salarié" sqref="B7:D7" xr:uid="{B6DC312F-135B-4A11-8C55-12D1D0038F7A}"/>
    <dataValidation type="list" allowBlank="1" showInputMessage="1" showErrorMessage="1" promptTitle="Instruction" prompt="Partiel : l'employeur paye la moitié de la CMU_x000a_Total : l'employeur paye la totalité de la CMU" sqref="B9:D9" xr:uid="{06D05C12-8D7F-4E76-B0CA-7DB6AA261E6C}">
      <formula1>"Total,Partiel"</formula1>
    </dataValidation>
    <dataValidation type="list" allowBlank="1" showInputMessage="1" showErrorMessage="1" promptTitle="Instruction" prompt="Indiqué si c'est un stagiaire ou un salarié." sqref="B5:D5" xr:uid="{3ADB3FB9-F8DD-475A-89F0-F39C0AD89E19}">
      <formula1>"Oui,Non"</formula1>
    </dataValidation>
  </dataValidations>
  <hyperlinks>
    <hyperlink ref="F1" location="Synthèse!A1" display="Synthèse" xr:uid="{AD8B7DFB-EC88-43DB-8827-E782D8AF968A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C525-1EA5-40A1-986B-00689F97D388}">
  <dimension ref="A1:G33"/>
  <sheetViews>
    <sheetView showGridLines="0" zoomScaleNormal="100" workbookViewId="0">
      <selection activeCell="C14" sqref="C14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43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63</v>
      </c>
      <c r="C5" s="129"/>
      <c r="D5" s="130"/>
    </row>
    <row r="6" spans="1:6" x14ac:dyDescent="0.25">
      <c r="A6" s="10" t="s">
        <v>1</v>
      </c>
      <c r="B6" s="124" t="s">
        <v>35</v>
      </c>
      <c r="C6" s="124"/>
      <c r="D6" s="124"/>
    </row>
    <row r="7" spans="1:6" x14ac:dyDescent="0.25">
      <c r="A7" s="10" t="s">
        <v>30</v>
      </c>
      <c r="B7" s="124">
        <v>2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3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5781400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1474792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22000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1452792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531889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69377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23126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69377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212625</v>
      </c>
      <c r="D23" s="5"/>
      <c r="F23" s="6"/>
      <c r="G23" s="7">
        <f>C23-ROUND(F23,0)</f>
        <v>212625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259875</v>
      </c>
      <c r="F24" s="6"/>
      <c r="G24" s="7">
        <f>D24-ROUND(F24,0)</f>
        <v>259875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2000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2000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4143983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1667417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894329.5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6" priority="1" operator="notEqual">
      <formula>0</formula>
    </cfRule>
  </conditionalFormatting>
  <dataValidations count="6">
    <dataValidation type="list" allowBlank="1" showInputMessage="1" showErrorMessage="1" promptTitle="Instruction" prompt="Partiel : l'employeur paye la moitié de la CMU_x000a_Total : l'employeur paye la totalité de la CMU" sqref="B9:D9" xr:uid="{21B1032A-73B7-4A3D-B071-5C04D9200DE0}">
      <formula1>"Total,Partiel"</formula1>
    </dataValidation>
    <dataValidation allowBlank="1" showInputMessage="1" showErrorMessage="1" promptTitle="Instruction" prompt="Saisissez le nombre d'enfants à charges du salarié" sqref="B7:D7" xr:uid="{22FECC19-314D-4B97-80C8-8FA803C4A957}"/>
    <dataValidation type="list" allowBlank="1" showInputMessage="1" showErrorMessage="1" promptTitle="Instruction" prompt="C : Célibataire_x000a_M : Marié" sqref="B6:D6" xr:uid="{A11AC3CB-BA65-47CF-8E79-033699A65A62}">
      <formula1>"C,M"</formula1>
    </dataValidation>
    <dataValidation type="list" allowBlank="1" showInputMessage="1" showErrorMessage="1" promptTitle="Instruction" prompt="Indiqué si c'est un stagiaire ou un salarié." sqref="B4:D4" xr:uid="{64D122C8-DC3E-49B9-9057-ECC76DCFE104}">
      <formula1>"Employé,Stagiaire"</formula1>
    </dataValidation>
    <dataValidation allowBlank="1" showInputMessage="1" showErrorMessage="1" promptTitle="Instruction" prompt="Saisissez les nom et prénoms du salarié." sqref="B3:D3" xr:uid="{F1AE4BEF-B6E6-455D-BFEF-F386A7523EF8}"/>
    <dataValidation type="list" allowBlank="1" showInputMessage="1" showErrorMessage="1" promptTitle="Instruction" prompt="Indiqué si c'est un stagiaire ou un salarié." sqref="B5:D5" xr:uid="{2A85B925-7277-4921-B620-52D3138094DE}">
      <formula1>"Oui,Non"</formula1>
    </dataValidation>
  </dataValidations>
  <hyperlinks>
    <hyperlink ref="F1" location="Synthèse!A1" display="Synthèse" xr:uid="{1E52AB0E-CAB2-448F-A741-5EB108A2CA3C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F06D-BD59-49A3-8873-185D8684CDAD}">
  <dimension ref="A1:G33"/>
  <sheetViews>
    <sheetView showGridLines="0" zoomScaleNormal="100" workbookViewId="0">
      <selection activeCell="C15" sqref="C15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44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31</v>
      </c>
      <c r="C6" s="124"/>
      <c r="D6" s="124"/>
    </row>
    <row r="7" spans="1:6" x14ac:dyDescent="0.25">
      <c r="A7" s="10" t="s">
        <v>30</v>
      </c>
      <c r="B7" s="124">
        <v>0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1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948450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179628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179628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11381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3794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11381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59752</v>
      </c>
      <c r="D23" s="5"/>
      <c r="F23" s="6"/>
      <c r="G23" s="7">
        <f>C23-ROUND(F23,0)</f>
        <v>59752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73031</v>
      </c>
      <c r="F24" s="6"/>
      <c r="G24" s="7">
        <f>D24-ROUND(F24,0)</f>
        <v>73031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500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500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738570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239880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96768.5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5" priority="1" operator="notEqual">
      <formula>0</formula>
    </cfRule>
  </conditionalFormatting>
  <dataValidations disablePrompts="1" count="6">
    <dataValidation allowBlank="1" showInputMessage="1" showErrorMessage="1" promptTitle="Instruction" prompt="Saisissez les nom et prénoms du salarié." sqref="B3:D3" xr:uid="{ABEEC852-C5B7-43E0-9306-A13FAF93EA48}"/>
    <dataValidation type="list" allowBlank="1" showInputMessage="1" showErrorMessage="1" promptTitle="Instruction" prompt="Indiqué si c'est un stagiaire ou un salarié." sqref="B4:D4" xr:uid="{786C433C-1F3A-4C33-8A6B-F179D8C3EFD3}">
      <formula1>"Employé,Stagiaire"</formula1>
    </dataValidation>
    <dataValidation type="list" allowBlank="1" showInputMessage="1" showErrorMessage="1" promptTitle="Instruction" prompt="C : Célibataire_x000a_M : Marié" sqref="B6:D6" xr:uid="{27065788-4529-4302-BE88-FCD3B8DECBFC}">
      <formula1>"C,M"</formula1>
    </dataValidation>
    <dataValidation allowBlank="1" showInputMessage="1" showErrorMessage="1" promptTitle="Instruction" prompt="Saisissez le nombre d'enfants à charges du salarié" sqref="B7:D7" xr:uid="{DB87EAB9-E650-4C2A-A11F-1C163382FD5D}"/>
    <dataValidation type="list" allowBlank="1" showInputMessage="1" showErrorMessage="1" promptTitle="Instruction" prompt="Partiel : l'employeur paye la moitié de la CMU_x000a_Total : l'employeur paye la totalité de la CMU" sqref="B9:D9" xr:uid="{0EFA9EED-619B-432D-AA45-22FD592198D3}">
      <formula1>"Total,Partiel"</formula1>
    </dataValidation>
    <dataValidation type="list" allowBlank="1" showInputMessage="1" showErrorMessage="1" promptTitle="Instruction" prompt="Indiqué si c'est un stagiaire ou un salarié." sqref="B5:D5" xr:uid="{E47B213F-6F40-4EF8-9B39-651E41B6B09F}">
      <formula1>"Oui,Non"</formula1>
    </dataValidation>
  </dataValidations>
  <hyperlinks>
    <hyperlink ref="F1" location="Synthèse!A1" display="Synthèse" xr:uid="{0DB94409-80BA-4A82-AA49-E05D326CFA7C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2AEF-6245-4F65-91D3-5C08E2079B4A}">
  <dimension ref="A1:G33"/>
  <sheetViews>
    <sheetView showGridLines="0" zoomScaleNormal="100" workbookViewId="0">
      <selection activeCell="C17" sqref="C17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45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31</v>
      </c>
      <c r="C6" s="124"/>
      <c r="D6" s="124"/>
    </row>
    <row r="7" spans="1:6" x14ac:dyDescent="0.25">
      <c r="A7" s="10" t="s">
        <v>30</v>
      </c>
      <c r="B7" s="124">
        <v>3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3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189410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18305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22000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0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2273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758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2273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11933</v>
      </c>
      <c r="D23" s="5"/>
      <c r="F23" s="6"/>
      <c r="G23" s="7">
        <f>C23-ROUND(F23,0)</f>
        <v>11933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14585</v>
      </c>
      <c r="F24" s="6"/>
      <c r="G24" s="7">
        <f>D24-ROUND(F24,0)</f>
        <v>14585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2000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2000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205477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13933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27678.5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4" priority="1" operator="notEqual">
      <formula>0</formula>
    </cfRule>
  </conditionalFormatting>
  <dataValidations count="6">
    <dataValidation type="list" allowBlank="1" showInputMessage="1" showErrorMessage="1" promptTitle="Instruction" prompt="Partiel : l'employeur paye la moitié de la CMU_x000a_Total : l'employeur paye la totalité de la CMU" sqref="B9:D9" xr:uid="{33DE4190-3521-4151-9196-CD33A24B3C92}">
      <formula1>"Total,Partiel"</formula1>
    </dataValidation>
    <dataValidation allowBlank="1" showInputMessage="1" showErrorMessage="1" promptTitle="Instruction" prompt="Saisissez le nombre d'enfants à charges du salarié" sqref="B7:D7" xr:uid="{A58C620B-3D2D-45A5-814F-D96B132A862A}"/>
    <dataValidation type="list" allowBlank="1" showInputMessage="1" showErrorMessage="1" promptTitle="Instruction" prompt="C : Célibataire_x000a_M : Marié" sqref="B6:D6" xr:uid="{F8B339C0-6C44-4320-8F93-7A2845467468}">
      <formula1>"C,M"</formula1>
    </dataValidation>
    <dataValidation type="list" allowBlank="1" showInputMessage="1" showErrorMessage="1" promptTitle="Instruction" prompt="Indiqué si c'est un stagiaire ou un salarié." sqref="B4:D4" xr:uid="{C24EFC67-B792-406F-9239-35929489C28B}">
      <formula1>"Employé,Stagiaire"</formula1>
    </dataValidation>
    <dataValidation allowBlank="1" showInputMessage="1" showErrorMessage="1" promptTitle="Instruction" prompt="Saisissez les nom et prénoms du salarié." sqref="B3:D3" xr:uid="{EB54C629-F589-4E7F-A914-74AD6A7F021E}"/>
    <dataValidation type="list" allowBlank="1" showInputMessage="1" showErrorMessage="1" promptTitle="Instruction" prompt="Indiqué si c'est un stagiaire ou un salarié." sqref="B5:D5" xr:uid="{804EFE90-B4CD-4654-B8DE-1DB690BE3363}">
      <formula1>"Oui,Non"</formula1>
    </dataValidation>
  </dataValidations>
  <hyperlinks>
    <hyperlink ref="F1" location="Synthèse!A1" display="Synthèse" xr:uid="{DB44C85B-0E5C-40B2-A682-8366B4BFF654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07D7-98BC-406A-8B76-12BA87B12A46}">
  <dimension ref="A1:G33"/>
  <sheetViews>
    <sheetView showGridLines="0" zoomScaleNormal="100" workbookViewId="0">
      <selection activeCell="F31" sqref="F31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46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31</v>
      </c>
      <c r="C6" s="124"/>
      <c r="D6" s="124"/>
    </row>
    <row r="7" spans="1:6" x14ac:dyDescent="0.25">
      <c r="A7" s="10" t="s">
        <v>30</v>
      </c>
      <c r="B7" s="124">
        <v>0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1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490653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79037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79037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5888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1963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5888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30911</v>
      </c>
      <c r="D23" s="5"/>
      <c r="F23" s="6"/>
      <c r="G23" s="7">
        <f>C23-ROUND(F23,0)</f>
        <v>30911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37780</v>
      </c>
      <c r="F24" s="6"/>
      <c r="G24" s="7">
        <f>D24-ROUND(F24,0)</f>
        <v>37780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500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500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410205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110448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54193.5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3" priority="1" operator="notEqual">
      <formula>0</formula>
    </cfRule>
  </conditionalFormatting>
  <dataValidations disablePrompts="1" count="6">
    <dataValidation allowBlank="1" showInputMessage="1" showErrorMessage="1" promptTitle="Instruction" prompt="Saisissez les nom et prénoms du salarié." sqref="B3:D3" xr:uid="{94D7BD56-700D-4919-9615-74E82813679A}"/>
    <dataValidation type="list" allowBlank="1" showInputMessage="1" showErrorMessage="1" promptTitle="Instruction" prompt="Indiqué si c'est un stagiaire ou un salarié." sqref="B4:D4" xr:uid="{FD8BDB70-06D4-417C-ABB4-1E48181A3C1B}">
      <formula1>"Employé,Stagiaire"</formula1>
    </dataValidation>
    <dataValidation type="list" allowBlank="1" showInputMessage="1" showErrorMessage="1" promptTitle="Instruction" prompt="C : Célibataire_x000a_M : Marié" sqref="B6:D6" xr:uid="{14A38BC3-2D9B-4FFA-9A87-A42AB98E2C5A}">
      <formula1>"C,M"</formula1>
    </dataValidation>
    <dataValidation allowBlank="1" showInputMessage="1" showErrorMessage="1" promptTitle="Instruction" prompt="Saisissez le nombre d'enfants à charges du salarié" sqref="B7:D7" xr:uid="{B57EE753-A671-45C2-88BD-724B13B5DE66}"/>
    <dataValidation type="list" allowBlank="1" showInputMessage="1" showErrorMessage="1" promptTitle="Instruction" prompt="Partiel : l'employeur paye la moitié de la CMU_x000a_Total : l'employeur paye la totalité de la CMU" sqref="B9:D9" xr:uid="{1C10FCB9-F1F3-4485-B7D0-259A47CB17DE}">
      <formula1>"Total,Partiel"</formula1>
    </dataValidation>
    <dataValidation type="list" allowBlank="1" showInputMessage="1" showErrorMessage="1" promptTitle="Instruction" prompt="Indiqué si c'est un stagiaire ou un salarié." sqref="B5:D5" xr:uid="{850C1B5A-8150-4278-A07E-2BB56B62EC3B}">
      <formula1>"Oui,Non"</formula1>
    </dataValidation>
  </dataValidations>
  <hyperlinks>
    <hyperlink ref="F1" location="Synthèse!A1" display="Synthèse" xr:uid="{1C5B0226-8893-4EA1-8E2C-6CDAF51CE844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F6E8-4F27-4C73-9CAA-32A8E766DB96}">
  <dimension ref="A1:G33"/>
  <sheetViews>
    <sheetView showGridLines="0" zoomScaleNormal="100" workbookViewId="0">
      <selection activeCell="C17" sqref="C17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47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31</v>
      </c>
      <c r="C6" s="124"/>
      <c r="D6" s="124"/>
    </row>
    <row r="7" spans="1:6" x14ac:dyDescent="0.25">
      <c r="A7" s="10" t="s">
        <v>30</v>
      </c>
      <c r="B7" s="124">
        <v>2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2.5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541059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89622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16500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73122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6493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2164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6493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34087</v>
      </c>
      <c r="D23" s="5"/>
      <c r="F23" s="6"/>
      <c r="G23" s="7">
        <f>C23-ROUND(F23,0)</f>
        <v>34087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41662</v>
      </c>
      <c r="F24" s="6"/>
      <c r="G24" s="7">
        <f>D24-ROUND(F24,0)</f>
        <v>41662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1500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1500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462350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108709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59881.5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2" priority="1" operator="notEqual">
      <formula>0</formula>
    </cfRule>
  </conditionalFormatting>
  <dataValidations count="6">
    <dataValidation type="list" allowBlank="1" showInputMessage="1" showErrorMessage="1" promptTitle="Instruction" prompt="Partiel : l'employeur paye la moitié de la CMU_x000a_Total : l'employeur paye la totalité de la CMU" sqref="B9:D9" xr:uid="{77535E10-D23C-4B0F-B1DD-A8367E42AB4D}">
      <formula1>"Total,Partiel"</formula1>
    </dataValidation>
    <dataValidation allowBlank="1" showInputMessage="1" showErrorMessage="1" promptTitle="Instruction" prompt="Saisissez le nombre d'enfants à charges du salarié" sqref="B7:D7" xr:uid="{FB2486E1-C55F-4A14-9451-9B72217FB982}"/>
    <dataValidation type="list" allowBlank="1" showInputMessage="1" showErrorMessage="1" promptTitle="Instruction" prompt="C : Célibataire_x000a_M : Marié" sqref="B6:D6" xr:uid="{F5C123B5-9F6C-489A-8622-A4FAF57BCF0A}">
      <formula1>"C,M"</formula1>
    </dataValidation>
    <dataValidation type="list" allowBlank="1" showInputMessage="1" showErrorMessage="1" promptTitle="Instruction" prompt="Indiqué si c'est un stagiaire ou un salarié." sqref="B4:D4" xr:uid="{4B59E15A-A31E-4D29-9E9A-6294390CB408}">
      <formula1>"Employé,Stagiaire"</formula1>
    </dataValidation>
    <dataValidation allowBlank="1" showInputMessage="1" showErrorMessage="1" promptTitle="Instruction" prompt="Saisissez les nom et prénoms du salarié." sqref="B3:D3" xr:uid="{3567F5DF-8CCB-46E4-B4B3-E118F68F4791}"/>
    <dataValidation type="list" allowBlank="1" showInputMessage="1" showErrorMessage="1" promptTitle="Instruction" prompt="Indiqué si c'est un stagiaire ou un salarié." sqref="B5:D5" xr:uid="{0CA8DC35-FCD2-420A-9C78-21FAAF57F983}">
      <formula1>"Oui,Non"</formula1>
    </dataValidation>
  </dataValidations>
  <hyperlinks>
    <hyperlink ref="F1" location="Synthèse!A1" display="Synthèse" xr:uid="{46698C7B-0665-42AB-B031-622197DCFC57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7870-5DCB-4856-9FBD-0116D7442D36}">
  <dimension ref="A1:G33"/>
  <sheetViews>
    <sheetView showGridLines="0" zoomScaleNormal="100" workbookViewId="0">
      <selection activeCell="C14" sqref="C14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48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35</v>
      </c>
      <c r="C6" s="124"/>
      <c r="D6" s="124"/>
    </row>
    <row r="7" spans="1:6" x14ac:dyDescent="0.25">
      <c r="A7" s="10" t="s">
        <v>30</v>
      </c>
      <c r="B7" s="124">
        <v>0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2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681600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119136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11000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108136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8179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2726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8179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42941</v>
      </c>
      <c r="D23" s="5"/>
      <c r="F23" s="6"/>
      <c r="G23" s="7">
        <f>C23-ROUND(F23,0)</f>
        <v>42941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52483</v>
      </c>
      <c r="F24" s="6"/>
      <c r="G24" s="7">
        <f>D24-ROUND(F24,0)</f>
        <v>52483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1000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1000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559523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152077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72450.5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1" priority="1" operator="notEqual">
      <formula>0</formula>
    </cfRule>
  </conditionalFormatting>
  <dataValidations count="6">
    <dataValidation type="list" allowBlank="1" showInputMessage="1" showErrorMessage="1" promptTitle="Instruction" prompt="Partiel : l'employeur paye la moitié de la CMU_x000a_Total : l'employeur paye la totalité de la CMU" sqref="B9:D9" xr:uid="{5B805182-73EB-4DD7-B6CC-C40BE6F1B567}">
      <formula1>"Total,Partiel"</formula1>
    </dataValidation>
    <dataValidation allowBlank="1" showInputMessage="1" showErrorMessage="1" promptTitle="Instruction" prompt="Saisissez le nombre d'enfants à charges du salarié" sqref="B7:D7" xr:uid="{F09E7ECE-2336-4BFE-89BC-9F8B4F4C6624}"/>
    <dataValidation type="list" allowBlank="1" showInputMessage="1" showErrorMessage="1" promptTitle="Instruction" prompt="C : Célibataire_x000a_M : Marié" sqref="B6:D6" xr:uid="{0770B422-F14A-4B37-977E-4E0D22674B86}">
      <formula1>"C,M"</formula1>
    </dataValidation>
    <dataValidation type="list" allowBlank="1" showInputMessage="1" showErrorMessage="1" promptTitle="Instruction" prompt="Indiqué si c'est un stagiaire ou un salarié." sqref="B4:D4" xr:uid="{F61BF77C-39ED-493F-9C4F-1DE58DFEE282}">
      <formula1>"Employé,Stagiaire"</formula1>
    </dataValidation>
    <dataValidation allowBlank="1" showInputMessage="1" showErrorMessage="1" promptTitle="Instruction" prompt="Saisissez les nom et prénoms du salarié." sqref="B3:D3" xr:uid="{913ABEB4-F161-4B06-A0CA-8F9D12A42ED7}"/>
    <dataValidation type="list" allowBlank="1" showInputMessage="1" showErrorMessage="1" promptTitle="Instruction" prompt="Indiqué si c'est un stagiaire ou un salarié." sqref="B5:D5" xr:uid="{2FE5C08A-063F-4D99-8A81-2EAFB0341055}">
      <formula1>"Oui,Non"</formula1>
    </dataValidation>
  </dataValidations>
  <hyperlinks>
    <hyperlink ref="F1" location="Synthèse!A1" display="Synthèse" xr:uid="{CD929927-F348-4DAC-B13D-4C46DC520F07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94B0-3B54-4286-AA0A-A7C2EF84C379}">
  <dimension ref="A1:G33"/>
  <sheetViews>
    <sheetView showGridLines="0" zoomScaleNormal="100" workbookViewId="0">
      <selection activeCell="F1" sqref="F1"/>
    </sheetView>
  </sheetViews>
  <sheetFormatPr baseColWidth="10" defaultRowHeight="15" x14ac:dyDescent="0.25"/>
  <cols>
    <col min="1" max="1" width="28.42578125" customWidth="1"/>
    <col min="2" max="2" width="13.5703125" customWidth="1"/>
    <col min="3" max="4" width="19.85546875" customWidth="1"/>
    <col min="5" max="5" width="2" customWidth="1"/>
    <col min="6" max="7" width="19.85546875" customWidth="1"/>
    <col min="13" max="13" width="19.85546875" customWidth="1"/>
  </cols>
  <sheetData>
    <row r="1" spans="1:6" ht="16.5" x14ac:dyDescent="0.25">
      <c r="A1" s="127" t="s">
        <v>34</v>
      </c>
      <c r="B1" s="127"/>
      <c r="C1" s="127"/>
      <c r="D1" s="127"/>
      <c r="F1" s="21" t="s">
        <v>96</v>
      </c>
    </row>
    <row r="2" spans="1:6" ht="16.5" x14ac:dyDescent="0.3">
      <c r="A2" s="1"/>
      <c r="B2" s="1"/>
      <c r="C2" s="1"/>
      <c r="D2" s="1"/>
    </row>
    <row r="3" spans="1:6" x14ac:dyDescent="0.25">
      <c r="A3" s="10" t="s">
        <v>32</v>
      </c>
      <c r="B3" s="124" t="s">
        <v>49</v>
      </c>
      <c r="C3" s="124"/>
      <c r="D3" s="124"/>
    </row>
    <row r="4" spans="1:6" x14ac:dyDescent="0.25">
      <c r="A4" s="10" t="s">
        <v>0</v>
      </c>
      <c r="B4" s="124" t="s">
        <v>8</v>
      </c>
      <c r="C4" s="124"/>
      <c r="D4" s="124"/>
    </row>
    <row r="5" spans="1:6" x14ac:dyDescent="0.25">
      <c r="A5" s="10" t="s">
        <v>60</v>
      </c>
      <c r="B5" s="128" t="s">
        <v>150</v>
      </c>
      <c r="C5" s="129"/>
      <c r="D5" s="130"/>
    </row>
    <row r="6" spans="1:6" x14ac:dyDescent="0.25">
      <c r="A6" s="10" t="s">
        <v>1</v>
      </c>
      <c r="B6" s="124" t="s">
        <v>31</v>
      </c>
      <c r="C6" s="124"/>
      <c r="D6" s="124"/>
    </row>
    <row r="7" spans="1:6" x14ac:dyDescent="0.25">
      <c r="A7" s="10" t="s">
        <v>30</v>
      </c>
      <c r="B7" s="124">
        <v>3</v>
      </c>
      <c r="C7" s="124"/>
      <c r="D7" s="124"/>
    </row>
    <row r="8" spans="1:6" x14ac:dyDescent="0.25">
      <c r="A8" s="10" t="s">
        <v>2</v>
      </c>
      <c r="B8" s="125">
        <f>IF(IF($B$4="Stagiaire",0,IF(AND($B$6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5,"")))))))))))))))&lt;=5,IF($B$4="Stagiaire",0,IF(AND($B$6 = "C", $B$7 = 0), 1,IF(AND($B$6 = "C", $B$7 = 1), 2,IF(AND($B$6 = "C", $B$7 = 2), 2.5,IF(AND($B$6 = "C", $B$7 = 3), 3,IF(AND($B$6 = "C", $B$7 = 4), 3.5,IF(AND($B$6 = "C", $B$7 = 5), 4,IF(AND($B$6 = "C", $B$7 = 6), 4.5,IF(AND($B$6 = "M", $B$7 = 0), 2,IF(AND($B$6 = "M", $B$7 = 1), 2.5,IF(AND($B$6 = "M", $B$7 = 2), 3,IF(AND($B$6 = "M", $B$7 = 3), 3.5,IF(AND($B$6 = "M", $B$7 = 4), 4,IF(AND($B$6 = "M", $B$7 = 5), 4.5,IF(AND($B$6 = "M", $B$7 = 6), 5,""))))))))))))))),5)</f>
        <v>3</v>
      </c>
      <c r="C8" s="125"/>
      <c r="D8" s="125"/>
    </row>
    <row r="9" spans="1:6" x14ac:dyDescent="0.25">
      <c r="A9" s="10" t="s">
        <v>33</v>
      </c>
      <c r="B9" s="124" t="s">
        <v>37</v>
      </c>
      <c r="C9" s="124"/>
      <c r="D9" s="124"/>
    </row>
    <row r="10" spans="1:6" ht="16.5" x14ac:dyDescent="0.3">
      <c r="A10" s="1"/>
      <c r="B10" s="1"/>
      <c r="C10" s="1"/>
      <c r="D10" s="1"/>
    </row>
    <row r="11" spans="1:6" ht="30" x14ac:dyDescent="0.25">
      <c r="A11" s="11" t="s">
        <v>9</v>
      </c>
      <c r="B11" s="11" t="s">
        <v>12</v>
      </c>
      <c r="C11" s="11" t="s">
        <v>10</v>
      </c>
      <c r="D11" s="11" t="s">
        <v>11</v>
      </c>
    </row>
    <row r="12" spans="1:6" ht="20.25" customHeight="1" x14ac:dyDescent="0.25">
      <c r="A12" s="2" t="s">
        <v>3</v>
      </c>
      <c r="B12" s="3" t="s">
        <v>13</v>
      </c>
      <c r="C12" s="4"/>
      <c r="D12" s="5"/>
    </row>
    <row r="13" spans="1:6" ht="20.25" customHeight="1" x14ac:dyDescent="0.25">
      <c r="A13" s="2" t="s">
        <v>4</v>
      </c>
      <c r="B13" s="3" t="s">
        <v>13</v>
      </c>
      <c r="C13" s="4"/>
      <c r="D13" s="5"/>
    </row>
    <row r="14" spans="1:6" ht="20.25" customHeight="1" x14ac:dyDescent="0.25">
      <c r="A14" s="12" t="s">
        <v>5</v>
      </c>
      <c r="B14" s="13" t="s">
        <v>13</v>
      </c>
      <c r="C14" s="14">
        <v>3231501</v>
      </c>
      <c r="D14" s="15"/>
    </row>
    <row r="15" spans="1:6" ht="20.25" customHeight="1" x14ac:dyDescent="0.25">
      <c r="A15" s="2" t="s">
        <v>14</v>
      </c>
      <c r="B15" s="3" t="s">
        <v>28</v>
      </c>
      <c r="C15" s="6">
        <f xml:space="preserve">
IF($B$4="Stagiaire",0,
ROUND(
IF(AND($C14=0,$C14&lt;=75000),0,
IF(AND($C14&gt;=75001,$C14&lt;=240000),ROUND(($C14-75001)*0.16,0)+0,
IF(AND($C14&gt;=240001,$C14&lt;=800000),ROUND(($C14-240001)*0.21,0)+0+26400,
IF(AND($C14&gt;=800001,$C14&lt;=2400000),ROUND(($C14-800001)*0.24,0)+0+26400+117600,
IF(AND($C14&gt;=2400001,$C14&lt;=8000000),ROUND(($C14-2400001)*0.28,0)+0+26400+117600+384000,
IF($C14&gt;=8000001,ROUND(($C14-8000001)*0.32,0)+0+26400+117600+384000+1568000,
0)))))),0))</f>
        <v>760820</v>
      </c>
      <c r="D15" s="5"/>
    </row>
    <row r="16" spans="1:6" ht="20.25" customHeight="1" x14ac:dyDescent="0.25">
      <c r="A16" s="2" t="s">
        <v>15</v>
      </c>
      <c r="B16" s="3" t="s">
        <v>28</v>
      </c>
      <c r="C16" s="6">
        <f xml:space="preserve">
IF($B$4="Stagiaire",0,
ROUND(
IF($B$8=1,0,
IF($B$8=1.5,5500,
IF($B$8=2,11000,
IF($B$8=2.5,16500,
IF($B$8=3,22000,
IF($B$8=3.5,27500,
IF($B$8=4,33000,
IF($B$8=4.5,38500,
IF($B$8=5,44000,
0))))))))),0))</f>
        <v>22000</v>
      </c>
      <c r="D16" s="5"/>
    </row>
    <row r="17" spans="1:7" ht="20.25" customHeight="1" x14ac:dyDescent="0.25">
      <c r="A17" s="12" t="s">
        <v>16</v>
      </c>
      <c r="B17" s="13" t="s">
        <v>28</v>
      </c>
      <c r="C17" s="14">
        <f>IF($C$15-$C$16&lt;0,0,$C$15-$C$16)</f>
        <v>738820</v>
      </c>
      <c r="D17" s="15"/>
    </row>
    <row r="18" spans="1:7" ht="20.25" customHeight="1" x14ac:dyDescent="0.25">
      <c r="A18" s="2" t="s">
        <v>61</v>
      </c>
      <c r="B18" s="3" t="s">
        <v>28</v>
      </c>
      <c r="C18" s="5"/>
      <c r="D18" s="6">
        <f xml:space="preserve">
IF(OR($B$4="Stagiaire",$B$5="Oui",,$B$5=""),0,
ROUND($C$14*0.092,0))</f>
        <v>0</v>
      </c>
    </row>
    <row r="19" spans="1:7" ht="20.25" customHeight="1" x14ac:dyDescent="0.25">
      <c r="A19" s="2" t="s">
        <v>62</v>
      </c>
      <c r="B19" s="3" t="s">
        <v>28</v>
      </c>
      <c r="C19" s="5"/>
      <c r="D19" s="6">
        <f xml:space="preserve">
IF($B$4="Stagiaire",0,
ROUND($C$14*0.012,0))</f>
        <v>38778</v>
      </c>
    </row>
    <row r="20" spans="1:7" ht="20.25" customHeight="1" x14ac:dyDescent="0.25">
      <c r="A20" s="2" t="s">
        <v>17</v>
      </c>
      <c r="B20" s="3" t="s">
        <v>28</v>
      </c>
      <c r="C20" s="5"/>
      <c r="D20" s="6">
        <f xml:space="preserve">
IF($B$4="Stagiaire",0,
ROUND($C$14*0.004,0))</f>
        <v>12926</v>
      </c>
    </row>
    <row r="21" spans="1:7" ht="20.25" customHeight="1" x14ac:dyDescent="0.25">
      <c r="A21" s="2" t="s">
        <v>18</v>
      </c>
      <c r="B21" s="3" t="s">
        <v>28</v>
      </c>
      <c r="C21" s="5"/>
      <c r="D21" s="6">
        <f xml:space="preserve">
IF($B$4="Stagiaire",0,
ROUND($C$14*0.012,0))</f>
        <v>38778</v>
      </c>
    </row>
    <row r="22" spans="1:7" ht="20.25" customHeight="1" x14ac:dyDescent="0.25">
      <c r="A22" s="2" t="s">
        <v>19</v>
      </c>
      <c r="B22" s="3" t="s">
        <v>28</v>
      </c>
      <c r="C22" s="5"/>
      <c r="D22" s="6">
        <f>0</f>
        <v>0</v>
      </c>
      <c r="F22" s="126" t="s">
        <v>50</v>
      </c>
      <c r="G22" s="126"/>
    </row>
    <row r="23" spans="1:7" ht="20.25" customHeight="1" x14ac:dyDescent="0.25">
      <c r="A23" s="2" t="s">
        <v>25</v>
      </c>
      <c r="B23" s="3" t="s">
        <v>28</v>
      </c>
      <c r="C23" s="6">
        <f xml:space="preserve">
IF($B$4="Stagiaire",0,
ROUND(
IF($C$14&lt;75000,75000*0.063,
IF(AND($C$14&gt;=75000,$C$14&lt;=3375000),$C$14*0.063,
IF($C$14&gt;3375000,3375000*0.063,0))),
0))</f>
        <v>203585</v>
      </c>
      <c r="D23" s="5"/>
      <c r="F23" s="6"/>
      <c r="G23" s="7">
        <f>C23-ROUND(F23,0)</f>
        <v>203585</v>
      </c>
    </row>
    <row r="24" spans="1:7" ht="20.25" customHeight="1" x14ac:dyDescent="0.25">
      <c r="A24" s="2" t="s">
        <v>20</v>
      </c>
      <c r="B24" s="3" t="s">
        <v>28</v>
      </c>
      <c r="C24" s="5"/>
      <c r="D24" s="6">
        <f xml:space="preserve">
IF($B$4="Stagiaire",0,
ROUND(
IF($C$14&lt;75000,75000*0.077,
IF(AND($C$14&gt;=75000,$C$14&lt;=3375000),$C$14*0.077,
IF($C$14&gt;3375000,3375000*0.077,0))),
0))</f>
        <v>248826</v>
      </c>
      <c r="F24" s="6"/>
      <c r="G24" s="7">
        <f>D24-ROUND(F24,0)</f>
        <v>248826</v>
      </c>
    </row>
    <row r="25" spans="1:7" ht="20.25" customHeight="1" x14ac:dyDescent="0.25">
      <c r="A25" s="2" t="s">
        <v>21</v>
      </c>
      <c r="B25" s="3" t="s">
        <v>28</v>
      </c>
      <c r="C25" s="5"/>
      <c r="D25" s="6">
        <f xml:space="preserve">
IF($B$4="Stagiaire",0,
ROUND(
IF($C$14&lt;75000,75000*0.05,
IF($C$14&gt;=75000,75000*0.05,
IF($C$14&gt;3375000,75000*0.05,0))),
0))</f>
        <v>3750</v>
      </c>
    </row>
    <row r="26" spans="1:7" ht="20.25" customHeight="1" x14ac:dyDescent="0.25">
      <c r="A26" s="2" t="s">
        <v>22</v>
      </c>
      <c r="B26" s="3" t="s">
        <v>28</v>
      </c>
      <c r="C26" s="5"/>
      <c r="D26" s="7">
        <f xml:space="preserve">
IF($B$4="Stagiaire",0,
ROUND(
IF($C$14&lt;75000,75000*0.0075,
IF($C$14&gt;=75000,75000*0.0075,
IF($C$14&gt;3375000,75000*0.0075,0))),
2))</f>
        <v>562.5</v>
      </c>
    </row>
    <row r="27" spans="1:7" ht="20.25" customHeight="1" x14ac:dyDescent="0.25">
      <c r="A27" s="2" t="s">
        <v>23</v>
      </c>
      <c r="B27" s="3" t="s">
        <v>28</v>
      </c>
      <c r="C27" s="5"/>
      <c r="D27" s="6">
        <f xml:space="preserve">
IF($B$4="Stagiaire",0,
ROUND(
IF($C$14&lt;75000,75000*0.05,
IF($C$14&gt;=75000,75000*0.05,
IF($C$14&gt;3375000,75000*0.05,0))),
0))</f>
        <v>3750</v>
      </c>
    </row>
    <row r="28" spans="1:7" ht="20.25" customHeight="1" x14ac:dyDescent="0.25">
      <c r="A28" s="2" t="s">
        <v>26</v>
      </c>
      <c r="B28" s="3" t="s">
        <v>28</v>
      </c>
      <c r="C28" s="6">
        <f>IF($B$6="C",ROUND(IF($B$9="Total",0,($B$7+1)*500),0),ROUND(IF($B$9="Total",0,($B$7+2)*500),0))</f>
        <v>2000</v>
      </c>
      <c r="D28" s="5"/>
    </row>
    <row r="29" spans="1:7" ht="20.25" customHeight="1" x14ac:dyDescent="0.25">
      <c r="A29" s="2" t="s">
        <v>24</v>
      </c>
      <c r="B29" s="3" t="s">
        <v>28</v>
      </c>
      <c r="C29" s="5"/>
      <c r="D29" s="6">
        <f>C28</f>
        <v>2000</v>
      </c>
    </row>
    <row r="30" spans="1:7" ht="20.25" customHeight="1" x14ac:dyDescent="0.25">
      <c r="A30" s="2" t="s">
        <v>27</v>
      </c>
      <c r="B30" s="3" t="s">
        <v>13</v>
      </c>
      <c r="C30" s="6">
        <f>30000</f>
        <v>30000</v>
      </c>
      <c r="D30" s="5"/>
    </row>
    <row r="31" spans="1:7" ht="20.25" customHeight="1" x14ac:dyDescent="0.25">
      <c r="A31" s="12" t="s">
        <v>29</v>
      </c>
      <c r="B31" s="13" t="s">
        <v>13</v>
      </c>
      <c r="C31" s="14">
        <f xml:space="preserve">
IF($B$4="Stagiaire",$C$30,
C14-C17-C23-C28+C30)</f>
        <v>2317096</v>
      </c>
      <c r="D31" s="15"/>
    </row>
    <row r="32" spans="1:7" ht="20.25" customHeight="1" x14ac:dyDescent="0.25">
      <c r="A32" s="16" t="s">
        <v>6</v>
      </c>
      <c r="B32" s="17"/>
      <c r="C32" s="18">
        <f>C17+C23+C28</f>
        <v>944405</v>
      </c>
      <c r="D32" s="19"/>
    </row>
    <row r="33" spans="1:4" ht="20.25" customHeight="1" x14ac:dyDescent="0.25">
      <c r="A33" s="16" t="s">
        <v>7</v>
      </c>
      <c r="B33" s="17"/>
      <c r="C33" s="20"/>
      <c r="D33" s="18">
        <f>D18+D20+D21+D22+D24+D25+D26+D27+D29</f>
        <v>310592.5</v>
      </c>
    </row>
  </sheetData>
  <mergeCells count="9">
    <mergeCell ref="B9:D9"/>
    <mergeCell ref="F22:G22"/>
    <mergeCell ref="A1:D1"/>
    <mergeCell ref="B3:D3"/>
    <mergeCell ref="B4:D4"/>
    <mergeCell ref="B6:D6"/>
    <mergeCell ref="B7:D7"/>
    <mergeCell ref="B8:D8"/>
    <mergeCell ref="B5:D5"/>
  </mergeCells>
  <conditionalFormatting sqref="G23:G24">
    <cfRule type="cellIs" dxfId="0" priority="1" operator="notEqual">
      <formula>0</formula>
    </cfRule>
  </conditionalFormatting>
  <dataValidations disablePrompts="1" count="6">
    <dataValidation allowBlank="1" showInputMessage="1" showErrorMessage="1" promptTitle="Instruction" prompt="Saisissez les nom et prénoms du salarié." sqref="B3:D3" xr:uid="{87D63BB2-79B2-4E18-9C04-C41E435EEF5B}"/>
    <dataValidation type="list" allowBlank="1" showInputMessage="1" showErrorMessage="1" promptTitle="Instruction" prompt="Indiqué si c'est un stagiaire ou un salarié." sqref="B4:D4" xr:uid="{08C78815-64FD-4740-A6F0-FEFEDCE06B14}">
      <formula1>"Employé,Stagiaire"</formula1>
    </dataValidation>
    <dataValidation type="list" allowBlank="1" showInputMessage="1" showErrorMessage="1" promptTitle="Instruction" prompt="C : Célibataire_x000a_M : Marié" sqref="B6:D6" xr:uid="{C07D7092-BA36-4F52-8D48-50BBBE056258}">
      <formula1>"C,M"</formula1>
    </dataValidation>
    <dataValidation allowBlank="1" showInputMessage="1" showErrorMessage="1" promptTitle="Instruction" prompt="Saisissez le nombre d'enfants à charges du salarié" sqref="B7:D7" xr:uid="{91508775-9443-4466-A989-CBF621000100}"/>
    <dataValidation type="list" allowBlank="1" showInputMessage="1" showErrorMessage="1" promptTitle="Instruction" prompt="Partiel : l'employeur paye la moitié de la CMU_x000a_Total : l'employeur paye la totalité de la CMU" sqref="B9:D9" xr:uid="{3093E0A5-28A6-45D8-BFCA-14990570F7D6}">
      <formula1>"Total,Partiel"</formula1>
    </dataValidation>
    <dataValidation type="list" allowBlank="1" showInputMessage="1" showErrorMessage="1" promptTitle="Instruction" prompt="Indiqué si c'est un stagiaire ou un salarié." sqref="B5:D5" xr:uid="{BDDB5D44-7A11-47C3-B90D-FFE758AF3224}">
      <formula1>"Oui,Non"</formula1>
    </dataValidation>
  </dataValidations>
  <hyperlinks>
    <hyperlink ref="F1" location="Synthèse!A1" display="Synthèse" xr:uid="{7ED2AD03-2B1A-4E29-9C39-90233D79AEDB}"/>
  </hyperlinks>
  <printOptions horizontalCentered="1"/>
  <pageMargins left="0.11811023622047245" right="0.11811023622047245" top="0.15748031496062992" bottom="0.15748031496062992" header="0.31496062992125984" footer="0.31496062992125984"/>
  <pageSetup paperSize="9" scale="12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27</vt:i4>
      </vt:variant>
    </vt:vector>
  </HeadingPairs>
  <TitlesOfParts>
    <vt:vector size="43" baseType="lpstr">
      <vt:lpstr>Tableau de Bord</vt:lpstr>
      <vt:lpstr>Synthèse</vt:lpstr>
      <vt:lpstr>Comptabilisation</vt:lpstr>
      <vt:lpstr>ELIE MOUSSA</vt:lpstr>
      <vt:lpstr>TANGARA FANTA</vt:lpstr>
      <vt:lpstr>OUATTARA ABDOULAYE</vt:lpstr>
      <vt:lpstr>KARAMOKO MARCEL</vt:lpstr>
      <vt:lpstr>DAN CESAR</vt:lpstr>
      <vt:lpstr>ASSI BONAVENTURE</vt:lpstr>
      <vt:lpstr>BESONGLACHE PAUL</vt:lpstr>
      <vt:lpstr>KONAN JEAN YVES</vt:lpstr>
      <vt:lpstr>SANOGO MORIBA</vt:lpstr>
      <vt:lpstr>COULIBALY TEMAN</vt:lpstr>
      <vt:lpstr>KOUACHY DJOMAN PACOME</vt:lpstr>
      <vt:lpstr>BLONDE MARCEL</vt:lpstr>
      <vt:lpstr>GNADOU PAULE MARIANNE</vt:lpstr>
      <vt:lpstr>Synthèse!Impression_des_titres</vt:lpstr>
      <vt:lpstr>'ASSI BONAVENTURE'!Print_Area</vt:lpstr>
      <vt:lpstr>'BESONGLACHE PAUL'!Print_Area</vt:lpstr>
      <vt:lpstr>'BLONDE MARCEL'!Print_Area</vt:lpstr>
      <vt:lpstr>'COULIBALY TEMAN'!Print_Area</vt:lpstr>
      <vt:lpstr>'DAN CESAR'!Print_Area</vt:lpstr>
      <vt:lpstr>'ELIE MOUSSA'!Print_Area</vt:lpstr>
      <vt:lpstr>'GNADOU PAULE MARIANNE'!Print_Area</vt:lpstr>
      <vt:lpstr>'KARAMOKO MARCEL'!Print_Area</vt:lpstr>
      <vt:lpstr>'KONAN JEAN YVES'!Print_Area</vt:lpstr>
      <vt:lpstr>'KOUACHY DJOMAN PACOME'!Print_Area</vt:lpstr>
      <vt:lpstr>'OUATTARA ABDOULAYE'!Print_Area</vt:lpstr>
      <vt:lpstr>'SANOGO MORIBA'!Print_Area</vt:lpstr>
      <vt:lpstr>'TANGARA FANTA'!Print_Area</vt:lpstr>
      <vt:lpstr>'ASSI BONAVENTURE'!Zone_d_impression</vt:lpstr>
      <vt:lpstr>'BESONGLACHE PAUL'!Zone_d_impression</vt:lpstr>
      <vt:lpstr>'BLONDE MARCEL'!Zone_d_impression</vt:lpstr>
      <vt:lpstr>'COULIBALY TEMAN'!Zone_d_impression</vt:lpstr>
      <vt:lpstr>'DAN CESAR'!Zone_d_impression</vt:lpstr>
      <vt:lpstr>'ELIE MOUSSA'!Zone_d_impression</vt:lpstr>
      <vt:lpstr>'GNADOU PAULE MARIANNE'!Zone_d_impression</vt:lpstr>
      <vt:lpstr>'KARAMOKO MARCEL'!Zone_d_impression</vt:lpstr>
      <vt:lpstr>'KONAN JEAN YVES'!Zone_d_impression</vt:lpstr>
      <vt:lpstr>'KOUACHY DJOMAN PACOME'!Zone_d_impression</vt:lpstr>
      <vt:lpstr>'OUATTARA ABDOULAYE'!Zone_d_impression</vt:lpstr>
      <vt:lpstr>'SANOGO MORIBA'!Zone_d_impression</vt:lpstr>
      <vt:lpstr>'TANGARA FANTA'!Zone_d_impression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 Marcel Blondé</dc:creator>
  <cp:lastModifiedBy>Duon Marcel Blonde</cp:lastModifiedBy>
  <cp:lastPrinted>2026-02-02T22:17:31Z</cp:lastPrinted>
  <dcterms:created xsi:type="dcterms:W3CDTF">2024-01-11T15:35:42Z</dcterms:created>
  <dcterms:modified xsi:type="dcterms:W3CDTF">2026-03-16T16:25:49Z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2025-03-11T23:09:06Z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5fe83cc7-2c5a-4b04-8bcb-921d9ed3881b</vt:lpwstr>
  </property>
  <property fmtid="{D5CDD505-2E9C-101B-9397-08002B2CF9AE}" pid="7" name="MSIP_Label_defa4170-0d19-0005-0000-bc88714345d2_ActionId">
    <vt:lpwstr>bd5a1b8a-342d-4c7d-805b-d9b9611695c4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